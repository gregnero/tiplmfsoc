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orynero/Library/CloudStorage/Dropbox/postdocs/UA/RESURRECTING-FSOC-PLM-PAPER/FINAL-DATA-SHARE/"/>
    </mc:Choice>
  </mc:AlternateContent>
  <xr:revisionPtr revIDLastSave="0" documentId="13_ncr:1_{5F41F12C-BF31-DC42-BF50-A9D159403784}" xr6:coauthVersionLast="47" xr6:coauthVersionMax="47" xr10:uidLastSave="{00000000-0000-0000-0000-000000000000}"/>
  <bookViews>
    <workbookView xWindow="1820" yWindow="760" windowWidth="32380" windowHeight="20500" xr2:uid="{7702861A-AE94-D04D-8BF8-5808CC75A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K322" i="1"/>
  <c r="K342" i="1"/>
  <c r="I352" i="1"/>
  <c r="I302" i="1"/>
  <c r="I312" i="1"/>
  <c r="K312" i="1"/>
  <c r="I32" i="1"/>
  <c r="J32" i="1"/>
  <c r="K32" i="1"/>
  <c r="L32" i="1"/>
  <c r="I42" i="1"/>
  <c r="K42" i="1"/>
  <c r="I52" i="1"/>
  <c r="K52" i="1"/>
  <c r="I62" i="1"/>
  <c r="J62" i="1"/>
  <c r="K62" i="1"/>
  <c r="L62" i="1"/>
  <c r="I72" i="1"/>
  <c r="K72" i="1"/>
  <c r="I82" i="1"/>
  <c r="K82" i="1"/>
  <c r="I92" i="1"/>
  <c r="J92" i="1"/>
  <c r="K92" i="1"/>
  <c r="L92" i="1"/>
  <c r="I102" i="1"/>
  <c r="K102" i="1"/>
  <c r="I112" i="1"/>
  <c r="K112" i="1"/>
  <c r="I122" i="1"/>
  <c r="J122" i="1"/>
  <c r="K122" i="1"/>
  <c r="L122" i="1"/>
  <c r="I132" i="1"/>
  <c r="K132" i="1"/>
  <c r="I142" i="1"/>
  <c r="K142" i="1"/>
  <c r="I152" i="1"/>
  <c r="J152" i="1"/>
  <c r="K152" i="1"/>
  <c r="L152" i="1"/>
  <c r="I162" i="1"/>
  <c r="K162" i="1"/>
  <c r="I172" i="1"/>
  <c r="K172" i="1"/>
  <c r="I182" i="1"/>
  <c r="J182" i="1"/>
  <c r="K182" i="1"/>
  <c r="L182" i="1"/>
  <c r="I192" i="1"/>
  <c r="K192" i="1"/>
  <c r="I202" i="1"/>
  <c r="K202" i="1"/>
  <c r="I212" i="1"/>
  <c r="J212" i="1"/>
  <c r="K212" i="1"/>
  <c r="L212" i="1"/>
  <c r="I222" i="1"/>
  <c r="K222" i="1"/>
  <c r="I232" i="1"/>
  <c r="K232" i="1"/>
  <c r="I242" i="1"/>
  <c r="J242" i="1"/>
  <c r="K242" i="1"/>
  <c r="L242" i="1"/>
  <c r="I252" i="1"/>
  <c r="K252" i="1"/>
  <c r="I262" i="1"/>
  <c r="K262" i="1"/>
  <c r="I272" i="1"/>
  <c r="J272" i="1"/>
  <c r="K272" i="1"/>
  <c r="L272" i="1"/>
  <c r="I282" i="1"/>
  <c r="K282" i="1"/>
  <c r="I292" i="1"/>
  <c r="K292" i="1"/>
  <c r="J302" i="1"/>
  <c r="K302" i="1"/>
  <c r="L302" i="1"/>
  <c r="I322" i="1"/>
  <c r="I332" i="1"/>
  <c r="J332" i="1"/>
  <c r="K332" i="1"/>
  <c r="L332" i="1"/>
  <c r="I342" i="1"/>
  <c r="K352" i="1"/>
  <c r="L2" i="1"/>
  <c r="K2" i="1"/>
  <c r="K12" i="1"/>
  <c r="K22" i="1"/>
  <c r="I22" i="1"/>
  <c r="I2" i="1"/>
  <c r="I12" i="1"/>
  <c r="J2" i="1"/>
  <c r="E332" i="1"/>
  <c r="E302" i="1"/>
  <c r="E272" i="1"/>
  <c r="E242" i="1"/>
  <c r="E212" i="1"/>
  <c r="E182" i="1"/>
  <c r="E152" i="1"/>
  <c r="E122" i="1"/>
  <c r="E92" i="1"/>
  <c r="E62" i="1"/>
  <c r="E32" i="1"/>
  <c r="E2" i="1"/>
</calcChain>
</file>

<file path=xl/sharedStrings.xml><?xml version="1.0" encoding="utf-8"?>
<sst xmlns="http://schemas.openxmlformats.org/spreadsheetml/2006/main" count="791" uniqueCount="384">
  <si>
    <t>Dataset ID</t>
  </si>
  <si>
    <t>Power Before PLM [mW]</t>
  </si>
  <si>
    <t>Grating on PLM</t>
  </si>
  <si>
    <t>Power of +1st Order [mW]</t>
  </si>
  <si>
    <t>Efficiency [%]</t>
  </si>
  <si>
    <t>Rx Power (Max over 30 sec) [nW]</t>
  </si>
  <si>
    <t>Rx Power (Min over 30 sec) [nW]</t>
  </si>
  <si>
    <t>Rx Power (1000 Sample averaged) [nW]</t>
  </si>
  <si>
    <t>Net Average BER</t>
  </si>
  <si>
    <t>Net Average LDPC-BER</t>
  </si>
  <si>
    <t>Scope Div Setting [mV/div]</t>
  </si>
  <si>
    <t>Manual Timestamp</t>
  </si>
  <si>
    <t>Auto-generated Session Timestamp</t>
  </si>
  <si>
    <t>session_timestamp</t>
  </si>
  <si>
    <t>timestamp</t>
  </si>
  <si>
    <t>ncc_at0</t>
  </si>
  <si>
    <t>blazed grating pixel pitch 4</t>
  </si>
  <si>
    <t>2026-05-18--21-54-42</t>
  </si>
  <si>
    <t>2026-05-18--21-55-53</t>
  </si>
  <si>
    <t>2026-05-18--21-54-45</t>
  </si>
  <si>
    <t>2026-05-18--21-57-11</t>
  </si>
  <si>
    <t>2026-05-18--21-54-49</t>
  </si>
  <si>
    <t>2026-05-18--21-54-52</t>
  </si>
  <si>
    <t>2026-05-18--21-54-56</t>
  </si>
  <si>
    <t>2026-05-18--21-54-59</t>
  </si>
  <si>
    <t>2026-05-18--21-55-02</t>
  </si>
  <si>
    <t>2026-05-18--21-55-06</t>
  </si>
  <si>
    <t>2026-05-18--21-55-09</t>
  </si>
  <si>
    <t>2026-05-18--21-55-13</t>
  </si>
  <si>
    <t>2026-05-18--21-55-56</t>
  </si>
  <si>
    <t>2026-05-18--21-56-00</t>
  </si>
  <si>
    <t>2026-05-18--21-56-03</t>
  </si>
  <si>
    <t>2026-05-18--21-56-07</t>
  </si>
  <si>
    <t>2026-05-18--21-56-10</t>
  </si>
  <si>
    <t>2026-05-18--21-56-14</t>
  </si>
  <si>
    <t>2026-05-18--21-56-17</t>
  </si>
  <si>
    <t>2026-05-18--21-56-21</t>
  </si>
  <si>
    <t>2026-05-18--21-56-24</t>
  </si>
  <si>
    <t>2026-05-18--21-57-15</t>
  </si>
  <si>
    <t>2026-05-18--21-57-18</t>
  </si>
  <si>
    <t>2026-05-18--21-57-22</t>
  </si>
  <si>
    <t>2026-05-18--21-57-25</t>
  </si>
  <si>
    <t>2026-05-18--21-57-28</t>
  </si>
  <si>
    <t>2026-05-18--21-57-32</t>
  </si>
  <si>
    <t>2026-05-18--21-57-35</t>
  </si>
  <si>
    <t>2026-05-18--21-57-39</t>
  </si>
  <si>
    <t>2026-05-18--21-57-42</t>
  </si>
  <si>
    <t>2026-05-18--20-08-43</t>
  </si>
  <si>
    <t>2026-05-18--20-09-44</t>
  </si>
  <si>
    <t>2026-05-18--20-08-46</t>
  </si>
  <si>
    <t>2026-05-18--20-10-48</t>
  </si>
  <si>
    <t>2026-05-18--20-08-50</t>
  </si>
  <si>
    <t>2026-05-18--20-08-53</t>
  </si>
  <si>
    <t>2026-05-18--20-08-57</t>
  </si>
  <si>
    <t>2026-05-18--20-09-00</t>
  </si>
  <si>
    <t>2026-05-18--20-09-04</t>
  </si>
  <si>
    <t>2026-05-18--20-09-07</t>
  </si>
  <si>
    <t>2026-05-18--20-09-10</t>
  </si>
  <si>
    <t>2026-05-18--20-09-14</t>
  </si>
  <si>
    <t>2026-05-18--20-09-48</t>
  </si>
  <si>
    <t>2026-05-18--20-09-51</t>
  </si>
  <si>
    <t>2026-05-18--20-09-55</t>
  </si>
  <si>
    <t>2026-05-18--20-09-58</t>
  </si>
  <si>
    <t>2026-05-18--20-10-02</t>
  </si>
  <si>
    <t>2026-05-18--20-10-05</t>
  </si>
  <si>
    <t>2026-05-18--20-10-09</t>
  </si>
  <si>
    <t>2026-05-18--20-10-12</t>
  </si>
  <si>
    <t>2026-05-18--20-10-16</t>
  </si>
  <si>
    <t>2026-05-18--20-10-52</t>
  </si>
  <si>
    <t>2026-05-18--20-10-56</t>
  </si>
  <si>
    <t>2026-05-18--20-10-59</t>
  </si>
  <si>
    <t>2026-05-18--20-11-03</t>
  </si>
  <si>
    <t>2026-05-18--20-11-06</t>
  </si>
  <si>
    <t>2026-05-18--20-11-09</t>
  </si>
  <si>
    <t>2026-05-18--20-11-13</t>
  </si>
  <si>
    <t>2026-05-18--20-11-16</t>
  </si>
  <si>
    <t>2026-05-18--20-11-20</t>
  </si>
  <si>
    <t>2026-05-18--20-31-56</t>
  </si>
  <si>
    <t>2026-05-18--20-32-57</t>
  </si>
  <si>
    <t>2026-05-18--20-31-59</t>
  </si>
  <si>
    <t>2026-05-18--20-33-57</t>
  </si>
  <si>
    <t>2026-05-18--20-32-03</t>
  </si>
  <si>
    <t>2026-05-18--20-32-06</t>
  </si>
  <si>
    <t>2026-05-18--20-32-10</t>
  </si>
  <si>
    <t>2026-05-18--20-32-13</t>
  </si>
  <si>
    <t>2026-05-18--20-32-16</t>
  </si>
  <si>
    <t>2026-05-18--20-32-20</t>
  </si>
  <si>
    <t>2026-05-18--20-32-23</t>
  </si>
  <si>
    <t>2026-05-18--20-32-27</t>
  </si>
  <si>
    <t>2026-05-18--20-33-01</t>
  </si>
  <si>
    <t>2026-05-18--20-33-04</t>
  </si>
  <si>
    <t>2026-05-18--20-33-07</t>
  </si>
  <si>
    <t>2026-05-18--20-33-11</t>
  </si>
  <si>
    <t>2026-05-18--20-33-14</t>
  </si>
  <si>
    <t>2026-05-18--20-33-18</t>
  </si>
  <si>
    <t>2026-05-18--20-33-22</t>
  </si>
  <si>
    <t>2026-05-18--20-33-25</t>
  </si>
  <si>
    <t>2026-05-18--20-33-28</t>
  </si>
  <si>
    <t>2026-05-18--20-34-01</t>
  </si>
  <si>
    <t>2026-05-18--20-34-04</t>
  </si>
  <si>
    <t>2026-05-18--20-34-08</t>
  </si>
  <si>
    <t>2026-05-18--20-34-11</t>
  </si>
  <si>
    <t>2026-05-18--20-34-14</t>
  </si>
  <si>
    <t>2026-05-18--20-34-18</t>
  </si>
  <si>
    <t>2026-05-18--20-34-21</t>
  </si>
  <si>
    <t>2026-05-18--20-34-25</t>
  </si>
  <si>
    <t>2026-05-18--20-34-28</t>
  </si>
  <si>
    <t>2026-05-18--20-41-44</t>
  </si>
  <si>
    <t>2026-05-18--20-42-39</t>
  </si>
  <si>
    <t>2026-05-18--20-41-48</t>
  </si>
  <si>
    <t>2026-05-18--20-43-34</t>
  </si>
  <si>
    <t>2026-05-18--20-41-51</t>
  </si>
  <si>
    <t>2026-05-18--20-41-55</t>
  </si>
  <si>
    <t>2026-05-18--20-41-58</t>
  </si>
  <si>
    <t>2026-05-18--20-42-02</t>
  </si>
  <si>
    <t>2026-05-18--20-42-05</t>
  </si>
  <si>
    <t>2026-05-18--20-42-09</t>
  </si>
  <si>
    <t>2026-05-18--20-42-12</t>
  </si>
  <si>
    <t>2026-05-18--20-42-16</t>
  </si>
  <si>
    <t>2026-05-18--20-42-43</t>
  </si>
  <si>
    <t>2026-05-18--20-42-46</t>
  </si>
  <si>
    <t>2026-05-18--20-42-50</t>
  </si>
  <si>
    <t>2026-05-18--20-42-53</t>
  </si>
  <si>
    <t>2026-05-18--20-42-57</t>
  </si>
  <si>
    <t>2026-05-18--20-43-00</t>
  </si>
  <si>
    <t>2026-05-18--20-43-04</t>
  </si>
  <si>
    <t>2026-05-18--20-43-07</t>
  </si>
  <si>
    <t>2026-05-18--20-43-11</t>
  </si>
  <si>
    <t>2026-05-18--20-43-38</t>
  </si>
  <si>
    <t>2026-05-18--20-43-42</t>
  </si>
  <si>
    <t>2026-05-18--20-43-45</t>
  </si>
  <si>
    <t>2026-05-18--20-43-49</t>
  </si>
  <si>
    <t>2026-05-18--20-43-52</t>
  </si>
  <si>
    <t>2026-05-18--20-43-56</t>
  </si>
  <si>
    <t>2026-05-18--20-43-59</t>
  </si>
  <si>
    <t>2026-05-18--20-44-03</t>
  </si>
  <si>
    <t>2026-05-18--20-44-06</t>
  </si>
  <si>
    <t>2026-05-18--20-49-19</t>
  </si>
  <si>
    <t>2026-05-18--20-50-37</t>
  </si>
  <si>
    <t>2026-05-18--20-49-23</t>
  </si>
  <si>
    <t>2026-05-18--20-51-31</t>
  </si>
  <si>
    <t>2026-05-18--20-49-26</t>
  </si>
  <si>
    <t>2026-05-18--20-49-30</t>
  </si>
  <si>
    <t>2026-05-18--20-49-33</t>
  </si>
  <si>
    <t>2026-05-18--20-49-37</t>
  </si>
  <si>
    <t>2026-05-18--20-49-40</t>
  </si>
  <si>
    <t>2026-05-18--20-49-43</t>
  </si>
  <si>
    <t>2026-05-18--20-49-47</t>
  </si>
  <si>
    <t>2026-05-18--20-49-50</t>
  </si>
  <si>
    <t>2026-05-18--20-50-41</t>
  </si>
  <si>
    <t>2026-05-18--20-50-44</t>
  </si>
  <si>
    <t>2026-05-18--20-50-48</t>
  </si>
  <si>
    <t>2026-05-18--20-50-51</t>
  </si>
  <si>
    <t>2026-05-18--20-50-54</t>
  </si>
  <si>
    <t>2026-05-18--20-50-58</t>
  </si>
  <si>
    <t>2026-05-18--20-51-01</t>
  </si>
  <si>
    <t>2026-05-18--20-51-05</t>
  </si>
  <si>
    <t>2026-05-18--20-51-08</t>
  </si>
  <si>
    <t>2026-05-18--20-51-35</t>
  </si>
  <si>
    <t>2026-05-18--20-51-38</t>
  </si>
  <si>
    <t>2026-05-18--20-51-42</t>
  </si>
  <si>
    <t>2026-05-18--20-51-45</t>
  </si>
  <si>
    <t>2026-05-18--20-51-49</t>
  </si>
  <si>
    <t>2026-05-18--20-51-52</t>
  </si>
  <si>
    <t>2026-05-18--20-51-56</t>
  </si>
  <si>
    <t>2026-05-18--20-51-59</t>
  </si>
  <si>
    <t>2026-05-18--20-52-03</t>
  </si>
  <si>
    <t>2026-05-18--20-57-20</t>
  </si>
  <si>
    <t>2026-05-18--20-58-24</t>
  </si>
  <si>
    <t>2026-05-18--20-57-23</t>
  </si>
  <si>
    <t>2026-05-18--20-59-29</t>
  </si>
  <si>
    <t>2026-05-18--20-57-27</t>
  </si>
  <si>
    <t>2026-05-18--20-57-30</t>
  </si>
  <si>
    <t>2026-05-18--20-57-34</t>
  </si>
  <si>
    <t>2026-05-18--20-57-37</t>
  </si>
  <si>
    <t>2026-05-18--20-57-41</t>
  </si>
  <si>
    <t>2026-05-18--20-57-44</t>
  </si>
  <si>
    <t>2026-05-18--20-57-47</t>
  </si>
  <si>
    <t>2026-05-18--20-57-51</t>
  </si>
  <si>
    <t>2026-05-18--20-58-27</t>
  </si>
  <si>
    <t>2026-05-18--20-58-31</t>
  </si>
  <si>
    <t>2026-05-18--20-58-34</t>
  </si>
  <si>
    <t>2026-05-18--20-58-38</t>
  </si>
  <si>
    <t>2026-05-18--20-58-41</t>
  </si>
  <si>
    <t>2026-05-18--20-58-44</t>
  </si>
  <si>
    <t>2026-05-18--20-58-48</t>
  </si>
  <si>
    <t>2026-05-18--20-58-51</t>
  </si>
  <si>
    <t>2026-05-18--20-58-55</t>
  </si>
  <si>
    <t>2026-05-18--20-59-33</t>
  </si>
  <si>
    <t>2026-05-18--20-59-37</t>
  </si>
  <si>
    <t>2026-05-18--20-59-40</t>
  </si>
  <si>
    <t>2026-05-18--20-59-44</t>
  </si>
  <si>
    <t>2026-05-18--20-59-47</t>
  </si>
  <si>
    <t>2026-05-18--20-59-51</t>
  </si>
  <si>
    <t>2026-05-18--20-59-54</t>
  </si>
  <si>
    <t>2026-05-18--20-59-57</t>
  </si>
  <si>
    <t>2026-05-18--21-00-01</t>
  </si>
  <si>
    <t>2026-05-18--21-04-56</t>
  </si>
  <si>
    <t>2026-05-18--21-06-20</t>
  </si>
  <si>
    <t>2026-05-18--21-04-59</t>
  </si>
  <si>
    <t>2026-05-18--21-07-43</t>
  </si>
  <si>
    <t>2026-05-18--21-05-03</t>
  </si>
  <si>
    <t>2026-05-18--21-05-06</t>
  </si>
  <si>
    <t>2026-05-18--21-05-09</t>
  </si>
  <si>
    <t>2026-05-18--21-05-13</t>
  </si>
  <si>
    <t>2026-05-18--21-05-16</t>
  </si>
  <si>
    <t>2026-05-18--21-05-20</t>
  </si>
  <si>
    <t>2026-05-18--21-05-23</t>
  </si>
  <si>
    <t>2026-05-18--21-05-27</t>
  </si>
  <si>
    <t>2026-05-18--21-06-23</t>
  </si>
  <si>
    <t>2026-05-18--21-06-27</t>
  </si>
  <si>
    <t>2026-05-18--21-06-30</t>
  </si>
  <si>
    <t>2026-05-18--21-06-34</t>
  </si>
  <si>
    <t>2026-05-18--21-06-37</t>
  </si>
  <si>
    <t>2026-05-18--21-06-41</t>
  </si>
  <si>
    <t>2026-05-18--21-06-44</t>
  </si>
  <si>
    <t>2026-05-18--21-06-47</t>
  </si>
  <si>
    <t>2026-05-18--21-06-51</t>
  </si>
  <si>
    <t>2026-05-18--21-07-47</t>
  </si>
  <si>
    <t>2026-05-18--21-07-51</t>
  </si>
  <si>
    <t>2026-05-18--21-07-54</t>
  </si>
  <si>
    <t>2026-05-18--21-07-57</t>
  </si>
  <si>
    <t>2026-05-18--21-08-01</t>
  </si>
  <si>
    <t>2026-05-18--21-08-04</t>
  </si>
  <si>
    <t>2026-05-18--21-08-08</t>
  </si>
  <si>
    <t>2026-05-18--21-08-11</t>
  </si>
  <si>
    <t>2026-05-18--21-08-14</t>
  </si>
  <si>
    <t>2026-05-18--21-15-31</t>
  </si>
  <si>
    <t>2026-05-18--21-16-41</t>
  </si>
  <si>
    <t>2026-05-18--21-15-35</t>
  </si>
  <si>
    <t>2026-05-18--21-17-49</t>
  </si>
  <si>
    <t>2026-05-18--21-15-38</t>
  </si>
  <si>
    <t>2026-05-18--21-15-41</t>
  </si>
  <si>
    <t>2026-05-18--21-15-45</t>
  </si>
  <si>
    <t>2026-05-18--21-15-48</t>
  </si>
  <si>
    <t>2026-05-18--21-15-52</t>
  </si>
  <si>
    <t>2026-05-18--21-15-55</t>
  </si>
  <si>
    <t>2026-05-18--21-15-58</t>
  </si>
  <si>
    <t>2026-05-18--21-16-02</t>
  </si>
  <si>
    <t>2026-05-18--21-16-45</t>
  </si>
  <si>
    <t>2026-05-18--21-16-49</t>
  </si>
  <si>
    <t>2026-05-18--21-16-52</t>
  </si>
  <si>
    <t>2026-05-18--21-16-56</t>
  </si>
  <si>
    <t>2026-05-18--21-16-59</t>
  </si>
  <si>
    <t>2026-05-18--21-17-03</t>
  </si>
  <si>
    <t>2026-05-18--21-17-06</t>
  </si>
  <si>
    <t>2026-05-18--21-17-09</t>
  </si>
  <si>
    <t>2026-05-18--21-17-13</t>
  </si>
  <si>
    <t>2026-05-18--21-17-52</t>
  </si>
  <si>
    <t>2026-05-18--21-17-56</t>
  </si>
  <si>
    <t>2026-05-18--21-17-59</t>
  </si>
  <si>
    <t>2026-05-18--21-18-02</t>
  </si>
  <si>
    <t>2026-05-18--21-18-06</t>
  </si>
  <si>
    <t>2026-05-18--21-18-09</t>
  </si>
  <si>
    <t>2026-05-18--21-18-13</t>
  </si>
  <si>
    <t>2026-05-18--21-18-16</t>
  </si>
  <si>
    <t>2026-05-18--21-18-20</t>
  </si>
  <si>
    <t>2026-05-18--21-25-40</t>
  </si>
  <si>
    <t>2026-05-18--21-26-49</t>
  </si>
  <si>
    <t>2026-05-18--21-25-44</t>
  </si>
  <si>
    <t>2026-05-18--21-27-55</t>
  </si>
  <si>
    <t>2026-05-18--21-25-48</t>
  </si>
  <si>
    <t>2026-05-18--21-25-51</t>
  </si>
  <si>
    <t>2026-05-18--21-25-54</t>
  </si>
  <si>
    <t>2026-05-18--21-25-58</t>
  </si>
  <si>
    <t>2026-05-18--21-26-01</t>
  </si>
  <si>
    <t>2026-05-18--21-26-05</t>
  </si>
  <si>
    <t>2026-05-18--21-26-08</t>
  </si>
  <si>
    <t>2026-05-18--21-26-12</t>
  </si>
  <si>
    <t>2026-05-18--21-26-53</t>
  </si>
  <si>
    <t>2026-05-18--21-26-56</t>
  </si>
  <si>
    <t>2026-05-18--21-27-00</t>
  </si>
  <si>
    <t>2026-05-18--21-27-03</t>
  </si>
  <si>
    <t>2026-05-18--21-27-07</t>
  </si>
  <si>
    <t>2026-05-18--21-27-10</t>
  </si>
  <si>
    <t>2026-05-18--21-27-14</t>
  </si>
  <si>
    <t>2026-05-18--21-27-17</t>
  </si>
  <si>
    <t>2026-05-18--21-27-21</t>
  </si>
  <si>
    <t>2026-05-18--21-27-59</t>
  </si>
  <si>
    <t>2026-05-18--21-28-03</t>
  </si>
  <si>
    <t>2026-05-18--21-28-06</t>
  </si>
  <si>
    <t>2026-05-18--21-28-10</t>
  </si>
  <si>
    <t>2026-05-18--21-28-13</t>
  </si>
  <si>
    <t>2026-05-18--21-28-17</t>
  </si>
  <si>
    <t>2026-05-18--21-28-20</t>
  </si>
  <si>
    <t>2026-05-18--21-28-24</t>
  </si>
  <si>
    <t>2026-05-18--21-28-27</t>
  </si>
  <si>
    <t>2026-05-18--22-14-17</t>
  </si>
  <si>
    <t>2026-05-18--22-15-32</t>
  </si>
  <si>
    <t>2026-05-18--22-14-20</t>
  </si>
  <si>
    <t>2026-05-18--22-16-41</t>
  </si>
  <si>
    <t>2026-05-18--22-14-24</t>
  </si>
  <si>
    <t>2026-05-18--22-14-27</t>
  </si>
  <si>
    <t>2026-05-18--22-14-31</t>
  </si>
  <si>
    <t>2026-05-18--22-14-34</t>
  </si>
  <si>
    <t>2026-05-18--22-14-38</t>
  </si>
  <si>
    <t>2026-05-18--22-14-41</t>
  </si>
  <si>
    <t>2026-05-18--22-14-44</t>
  </si>
  <si>
    <t>2026-05-18--22-14-48</t>
  </si>
  <si>
    <t>2026-05-18--22-15-36</t>
  </si>
  <si>
    <t>2026-05-18--22-15-39</t>
  </si>
  <si>
    <t>2026-05-18--22-15-43</t>
  </si>
  <si>
    <t>2026-05-18--22-15-46</t>
  </si>
  <si>
    <t>2026-05-18--22-15-49</t>
  </si>
  <si>
    <t>2026-05-18--22-15-53</t>
  </si>
  <si>
    <t>2026-05-18--22-15-56</t>
  </si>
  <si>
    <t>2026-05-18--22-16-00</t>
  </si>
  <si>
    <t>2026-05-18--22-16-03</t>
  </si>
  <si>
    <t>2026-05-18--22-16-45</t>
  </si>
  <si>
    <t>2026-05-18--22-16-49</t>
  </si>
  <si>
    <t>2026-05-18--22-16-52</t>
  </si>
  <si>
    <t>2026-05-18--22-16-55</t>
  </si>
  <si>
    <t>2026-05-18--22-16-59</t>
  </si>
  <si>
    <t>2026-05-18--22-17-02</t>
  </si>
  <si>
    <t>2026-05-18--22-17-05</t>
  </si>
  <si>
    <t>2026-05-18--22-17-09</t>
  </si>
  <si>
    <t>2026-05-18--22-17-12</t>
  </si>
  <si>
    <t>2026-05-18--21-36-11</t>
  </si>
  <si>
    <t>2026-05-18--21-37-32</t>
  </si>
  <si>
    <t>2026-05-18--21-36-14</t>
  </si>
  <si>
    <t>2026-05-18--21-38-46</t>
  </si>
  <si>
    <t>2026-05-18--21-36-18</t>
  </si>
  <si>
    <t>2026-05-18--21-36-21</t>
  </si>
  <si>
    <t>2026-05-18--21-36-24</t>
  </si>
  <si>
    <t>2026-05-18--21-36-27</t>
  </si>
  <si>
    <t>2026-05-18--21-36-31</t>
  </si>
  <si>
    <t>2026-05-18--21-36-35</t>
  </si>
  <si>
    <t>2026-05-18--21-36-39</t>
  </si>
  <si>
    <t>2026-05-18--21-36-42</t>
  </si>
  <si>
    <t>2026-05-18--21-37-35</t>
  </si>
  <si>
    <t>2026-05-18--21-37-39</t>
  </si>
  <si>
    <t>2026-05-18--21-37-42</t>
  </si>
  <si>
    <t>2026-05-18--21-37-46</t>
  </si>
  <si>
    <t>2026-05-18--21-37-49</t>
  </si>
  <si>
    <t>2026-05-18--21-37-52</t>
  </si>
  <si>
    <t>2026-05-18--21-37-56</t>
  </si>
  <si>
    <t>2026-05-18--21-37-59</t>
  </si>
  <si>
    <t>2026-05-18--21-38-03</t>
  </si>
  <si>
    <t>2026-05-18--21-38-50</t>
  </si>
  <si>
    <t>2026-05-18--21-38-54</t>
  </si>
  <si>
    <t>2026-05-18--21-38-57</t>
  </si>
  <si>
    <t>2026-05-18--21-39-00</t>
  </si>
  <si>
    <t>2026-05-18--21-39-04</t>
  </si>
  <si>
    <t>2026-05-18--21-39-07</t>
  </si>
  <si>
    <t>2026-05-18--21-39-10</t>
  </si>
  <si>
    <t>2026-05-18--21-39-14</t>
  </si>
  <si>
    <t>2026-05-18--21-39-17</t>
  </si>
  <si>
    <t>2026-05-18--21-44-39</t>
  </si>
  <si>
    <t>2026-05-18--21-46-00</t>
  </si>
  <si>
    <t>2026-05-18--21-44-43</t>
  </si>
  <si>
    <t>2026-05-18--21-47-17</t>
  </si>
  <si>
    <t>2026-05-18--21-44-47</t>
  </si>
  <si>
    <t>2026-05-18--21-44-50</t>
  </si>
  <si>
    <t>2026-05-18--21-44-54</t>
  </si>
  <si>
    <t>2026-05-18--21-44-57</t>
  </si>
  <si>
    <t>2026-05-18--21-45-01</t>
  </si>
  <si>
    <t>2026-05-18--21-45-04</t>
  </si>
  <si>
    <t>2026-05-18--21-45-08</t>
  </si>
  <si>
    <t>2026-05-18--21-45-12</t>
  </si>
  <si>
    <t>2026-05-18--21-46-04</t>
  </si>
  <si>
    <t>2026-05-18--21-46-08</t>
  </si>
  <si>
    <t>2026-05-18--21-46-11</t>
  </si>
  <si>
    <t>2026-05-18--21-46-15</t>
  </si>
  <si>
    <t>2026-05-18--21-46-18</t>
  </si>
  <si>
    <t>2026-05-18--21-46-21</t>
  </si>
  <si>
    <t>2026-05-18--21-46-25</t>
  </si>
  <si>
    <t>2026-05-18--21-46-29</t>
  </si>
  <si>
    <t>2026-05-18--21-46-32</t>
  </si>
  <si>
    <t>2026-05-18--21-47-21</t>
  </si>
  <si>
    <t>2026-05-18--21-47-24</t>
  </si>
  <si>
    <t>2026-05-18--21-47-27</t>
  </si>
  <si>
    <t>2026-05-18--21-47-31</t>
  </si>
  <si>
    <t>2026-05-18--21-47-35</t>
  </si>
  <si>
    <t>2026-05-18--21-47-38</t>
  </si>
  <si>
    <t>2026-05-18--21-47-42</t>
  </si>
  <si>
    <t>2026-05-18--21-47-45</t>
  </si>
  <si>
    <t>2026-05-18--21-47-49</t>
  </si>
  <si>
    <t>covalue_recalc_at0</t>
  </si>
  <si>
    <t>ub20_acTrue_RAW_BER</t>
  </si>
  <si>
    <t>ub20_acTrue_LDPC_BER</t>
  </si>
  <si>
    <t>Value of BER if LDPC Corrected It Completely and BER wasn't Already Zero</t>
  </si>
  <si>
    <t>Average BER for 10-sample Subsession</t>
  </si>
  <si>
    <t>Average LDPC-BER for 10-sample Subsession</t>
  </si>
  <si>
    <t>Instances Where LDPC &gt; Raw 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</si>
</sst>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AC85-8302-CF4F-94EE-471D7662A81D}">
  <dimension ref="A1:W370"/>
  <sheetViews>
    <sheetView tabSelected="1" zoomScale="50" zoomScaleNormal="93" workbookViewId="0">
      <pane ySplit="1" topLeftCell="A149" activePane="bottomLeft" state="frozen"/>
      <selection activeCell="L1" sqref="L1"/>
      <selection pane="bottomLeft" activeCell="G178" sqref="G178"/>
    </sheetView>
  </sheetViews>
  <sheetFormatPr baseColWidth="10" defaultRowHeight="16" x14ac:dyDescent="0.2"/>
  <cols>
    <col min="1" max="1" width="9.83203125" bestFit="1" customWidth="1"/>
    <col min="2" max="2" width="20.1640625" bestFit="1" customWidth="1"/>
    <col min="3" max="3" width="22.6640625" bestFit="1" customWidth="1"/>
    <col min="4" max="4" width="21.6640625" bestFit="1" customWidth="1"/>
    <col min="5" max="5" width="12.1640625" bestFit="1" customWidth="1"/>
    <col min="6" max="6" width="27.33203125" bestFit="1" customWidth="1"/>
    <col min="7" max="7" width="27" bestFit="1" customWidth="1"/>
    <col min="8" max="8" width="32.83203125" bestFit="1" customWidth="1"/>
    <col min="9" max="9" width="32.6640625" bestFit="1" customWidth="1"/>
    <col min="10" max="10" width="14.5" bestFit="1" customWidth="1"/>
    <col min="11" max="11" width="37.83203125" bestFit="1" customWidth="1"/>
    <col min="12" max="12" width="19.83203125" bestFit="1" customWidth="1"/>
    <col min="13" max="13" width="22.33203125" bestFit="1" customWidth="1"/>
    <col min="14" max="14" width="16.5" bestFit="1" customWidth="1"/>
    <col min="15" max="15" width="29.83203125" bestFit="1" customWidth="1"/>
    <col min="16" max="17" width="19.33203125" bestFit="1" customWidth="1"/>
    <col min="18" max="18" width="17.1640625" bestFit="1" customWidth="1"/>
    <col min="19" max="19" width="12" customWidth="1"/>
    <col min="20" max="20" width="20.5" bestFit="1" customWidth="1"/>
    <col min="21" max="21" width="21.1640625" bestFit="1" customWidth="1"/>
    <col min="22" max="22" width="61.5" bestFit="1" customWidth="1"/>
    <col min="23" max="23" width="28.83203125" bestFit="1" customWidth="1"/>
  </cols>
  <sheetData>
    <row r="1" spans="1:23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381</v>
      </c>
      <c r="J1" s="2" t="s">
        <v>8</v>
      </c>
      <c r="K1" s="2" t="s">
        <v>382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377</v>
      </c>
      <c r="S1" s="2" t="s">
        <v>15</v>
      </c>
      <c r="T1" s="2" t="s">
        <v>378</v>
      </c>
      <c r="U1" s="3" t="s">
        <v>379</v>
      </c>
      <c r="V1" s="19" t="s">
        <v>380</v>
      </c>
      <c r="W1" s="19" t="s">
        <v>383</v>
      </c>
    </row>
    <row r="2" spans="1:23" x14ac:dyDescent="0.2">
      <c r="A2" s="13">
        <v>1</v>
      </c>
      <c r="B2" s="5">
        <v>27.46</v>
      </c>
      <c r="C2" s="5" t="s">
        <v>16</v>
      </c>
      <c r="D2" s="5">
        <v>16.46</v>
      </c>
      <c r="E2" s="5">
        <f>(D2/B2)*100</f>
        <v>59.941733430444287</v>
      </c>
      <c r="F2" s="5">
        <v>351</v>
      </c>
      <c r="G2" s="5">
        <v>182</v>
      </c>
      <c r="H2" s="5">
        <v>240</v>
      </c>
      <c r="I2" s="5">
        <f>AVERAGE(T2:T11)</f>
        <v>5.5406700916889734E-3</v>
      </c>
      <c r="J2" s="5">
        <f>AVERAGE(T2:T31)</f>
        <v>4.7286612095736617E-3</v>
      </c>
      <c r="K2" s="5">
        <f>AVERAGE(U2:U11)</f>
        <v>0</v>
      </c>
      <c r="L2" s="5">
        <f>AVERAGE(U2:U31)</f>
        <v>6.0388551576083668E-4</v>
      </c>
      <c r="M2" s="14">
        <v>100</v>
      </c>
      <c r="N2" s="6">
        <v>0.91319444444444442</v>
      </c>
      <c r="O2" s="5" t="s">
        <v>17</v>
      </c>
      <c r="P2" s="13" t="s">
        <v>17</v>
      </c>
      <c r="Q2" s="14" t="s">
        <v>17</v>
      </c>
      <c r="R2" s="15">
        <v>5544.9357262941003</v>
      </c>
      <c r="S2" s="15">
        <v>0.87264935038844405</v>
      </c>
      <c r="T2" s="14">
        <v>1.6715419974926799E-3</v>
      </c>
      <c r="U2" s="16">
        <v>0</v>
      </c>
      <c r="V2" s="20">
        <f t="shared" ref="V2:V36" si="0">IF(AND(U2=0,T2&lt;&gt;0), T2, "")</f>
        <v>1.6715419974926799E-3</v>
      </c>
      <c r="W2" s="20">
        <f t="shared" ref="W2:W36" si="1">IF(U2&gt;T2,1,0)</f>
        <v>0</v>
      </c>
    </row>
    <row r="3" spans="1:23" x14ac:dyDescent="0.2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O3" s="22"/>
      <c r="P3" s="4" t="s">
        <v>17</v>
      </c>
      <c r="Q3" s="5" t="s">
        <v>19</v>
      </c>
      <c r="R3" s="7">
        <v>5603.8778245875001</v>
      </c>
      <c r="S3" s="7">
        <v>0.88418982102154697</v>
      </c>
      <c r="T3" s="5">
        <v>1.96651999705022E-4</v>
      </c>
      <c r="U3" s="8">
        <v>0</v>
      </c>
      <c r="V3" s="20">
        <f t="shared" si="0"/>
        <v>1.96651999705022E-4</v>
      </c>
      <c r="W3" s="20">
        <f t="shared" si="1"/>
        <v>0</v>
      </c>
    </row>
    <row r="4" spans="1:23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O4" s="22"/>
      <c r="P4" s="4" t="s">
        <v>17</v>
      </c>
      <c r="Q4" s="5" t="s">
        <v>21</v>
      </c>
      <c r="R4" s="7">
        <v>5667.23368792375</v>
      </c>
      <c r="S4" s="7">
        <v>0.90236092444762395</v>
      </c>
      <c r="T4" s="5">
        <v>0</v>
      </c>
      <c r="U4" s="8">
        <v>0</v>
      </c>
      <c r="V4" s="20" t="str">
        <f t="shared" si="0"/>
        <v/>
      </c>
      <c r="W4" s="20">
        <f t="shared" si="1"/>
        <v>0</v>
      </c>
    </row>
    <row r="5" spans="1:23" x14ac:dyDescent="0.2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5"/>
      <c r="P5" s="4" t="s">
        <v>17</v>
      </c>
      <c r="Q5" s="5" t="s">
        <v>22</v>
      </c>
      <c r="R5" s="7">
        <v>5047.3271733435004</v>
      </c>
      <c r="S5" s="7">
        <v>0.79855526694866097</v>
      </c>
      <c r="T5" s="5">
        <v>1.8411543472382601E-2</v>
      </c>
      <c r="U5" s="8">
        <v>0</v>
      </c>
      <c r="V5" s="20">
        <f t="shared" si="0"/>
        <v>1.8411543472382601E-2</v>
      </c>
      <c r="W5" s="20">
        <f t="shared" si="1"/>
        <v>0</v>
      </c>
    </row>
    <row r="6" spans="1:23" x14ac:dyDescent="0.2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5"/>
      <c r="P6" s="4" t="s">
        <v>17</v>
      </c>
      <c r="Q6" s="5" t="s">
        <v>23</v>
      </c>
      <c r="R6" s="7">
        <v>5589.5973333772099</v>
      </c>
      <c r="S6" s="7">
        <v>0.88114351167008098</v>
      </c>
      <c r="T6" s="5">
        <v>4.1788549937317102E-4</v>
      </c>
      <c r="U6" s="8">
        <v>0</v>
      </c>
      <c r="V6" s="20">
        <f t="shared" si="0"/>
        <v>4.1788549937317102E-4</v>
      </c>
      <c r="W6" s="20">
        <f t="shared" si="1"/>
        <v>0</v>
      </c>
    </row>
    <row r="7" spans="1:23" x14ac:dyDescent="0.2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5"/>
      <c r="P7" s="4" t="s">
        <v>17</v>
      </c>
      <c r="Q7" s="5" t="s">
        <v>24</v>
      </c>
      <c r="R7" s="7">
        <v>5950.6722019262997</v>
      </c>
      <c r="S7" s="7">
        <v>0.95483045827981905</v>
      </c>
      <c r="T7" s="5">
        <v>0</v>
      </c>
      <c r="U7" s="8">
        <v>0</v>
      </c>
      <c r="V7" s="20" t="str">
        <f t="shared" si="0"/>
        <v/>
      </c>
      <c r="W7" s="20">
        <f t="shared" si="1"/>
        <v>0</v>
      </c>
    </row>
    <row r="8" spans="1:23" x14ac:dyDescent="0.2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5"/>
      <c r="P8" s="4" t="s">
        <v>17</v>
      </c>
      <c r="Q8" s="5" t="s">
        <v>25</v>
      </c>
      <c r="R8" s="7">
        <v>5786.42362034904</v>
      </c>
      <c r="S8" s="7">
        <v>0.88049287900501305</v>
      </c>
      <c r="T8" s="5">
        <v>1.7600353973599402E-2</v>
      </c>
      <c r="U8" s="8">
        <v>0</v>
      </c>
      <c r="V8" s="20">
        <f t="shared" si="0"/>
        <v>1.7600353973599402E-2</v>
      </c>
      <c r="W8" s="20">
        <f t="shared" si="1"/>
        <v>0</v>
      </c>
    </row>
    <row r="9" spans="1:23" x14ac:dyDescent="0.2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5"/>
      <c r="P9" s="4" t="s">
        <v>17</v>
      </c>
      <c r="Q9" s="5" t="s">
        <v>26</v>
      </c>
      <c r="R9" s="7">
        <v>5619.6721284163305</v>
      </c>
      <c r="S9" s="7">
        <v>0.85803579098239402</v>
      </c>
      <c r="T9" s="5">
        <v>1.6789164474816199E-2</v>
      </c>
      <c r="U9" s="8">
        <v>0</v>
      </c>
      <c r="V9" s="20">
        <f t="shared" si="0"/>
        <v>1.6789164474816199E-2</v>
      </c>
      <c r="W9" s="20">
        <f t="shared" si="1"/>
        <v>0</v>
      </c>
    </row>
    <row r="10" spans="1:23" x14ac:dyDescent="0.2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5"/>
      <c r="P10" s="4" t="s">
        <v>17</v>
      </c>
      <c r="Q10" s="5" t="s">
        <v>27</v>
      </c>
      <c r="R10" s="7">
        <v>5937.7169031714602</v>
      </c>
      <c r="S10" s="7">
        <v>0.95506417595395598</v>
      </c>
      <c r="T10" s="5">
        <v>0</v>
      </c>
      <c r="U10" s="8">
        <v>0</v>
      </c>
      <c r="V10" s="20" t="str">
        <f t="shared" si="0"/>
        <v/>
      </c>
      <c r="W10" s="20">
        <f t="shared" si="1"/>
        <v>0</v>
      </c>
    </row>
    <row r="11" spans="1:23" ht="17" thickBot="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5"/>
      <c r="P11" s="9" t="s">
        <v>17</v>
      </c>
      <c r="Q11" s="10" t="s">
        <v>28</v>
      </c>
      <c r="R11" s="11">
        <v>5571.8750190874298</v>
      </c>
      <c r="S11" s="11">
        <v>0.87810152150032705</v>
      </c>
      <c r="T11" s="10">
        <v>3.1955949952065999E-4</v>
      </c>
      <c r="U11" s="12">
        <v>0</v>
      </c>
      <c r="V11" s="20">
        <f t="shared" si="0"/>
        <v>3.1955949952065999E-4</v>
      </c>
      <c r="W11" s="20">
        <f t="shared" si="1"/>
        <v>0</v>
      </c>
    </row>
    <row r="12" spans="1:23" x14ac:dyDescent="0.2">
      <c r="A12" s="4"/>
      <c r="B12" s="5"/>
      <c r="C12" s="5"/>
      <c r="D12" s="5"/>
      <c r="E12" s="5"/>
      <c r="F12" s="5"/>
      <c r="G12" s="5"/>
      <c r="H12" s="5"/>
      <c r="I12" s="5">
        <f>AVERAGE(T12:T21)</f>
        <v>6.3985644404021434E-3</v>
      </c>
      <c r="J12" s="5"/>
      <c r="K12" s="5">
        <f>AVERAGE(U12:U21)</f>
        <v>1.31511024802733E-3</v>
      </c>
      <c r="L12" s="5"/>
      <c r="M12" s="5"/>
      <c r="N12" s="6">
        <v>0.91388888888888886</v>
      </c>
      <c r="O12" s="5" t="s">
        <v>18</v>
      </c>
      <c r="P12" s="4" t="s">
        <v>18</v>
      </c>
      <c r="Q12" s="5" t="s">
        <v>18</v>
      </c>
      <c r="R12" s="7">
        <v>5573.8385782247897</v>
      </c>
      <c r="S12" s="7">
        <v>0.88404189490201501</v>
      </c>
      <c r="T12" s="5">
        <v>0</v>
      </c>
      <c r="U12" s="8">
        <v>0</v>
      </c>
      <c r="V12" s="20" t="str">
        <f t="shared" si="0"/>
        <v/>
      </c>
      <c r="W12" s="20">
        <f t="shared" si="1"/>
        <v>0</v>
      </c>
    </row>
    <row r="13" spans="1:23" x14ac:dyDescent="0.2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O13" s="22"/>
      <c r="P13" s="4" t="s">
        <v>18</v>
      </c>
      <c r="Q13" s="5" t="s">
        <v>29</v>
      </c>
      <c r="R13" s="7">
        <v>5557.6001395537096</v>
      </c>
      <c r="S13" s="7">
        <v>0.87501904553894605</v>
      </c>
      <c r="T13" s="5">
        <v>1.5977974976032999E-3</v>
      </c>
      <c r="U13" s="8">
        <v>0</v>
      </c>
      <c r="V13" s="20">
        <f t="shared" si="0"/>
        <v>1.5977974976032999E-3</v>
      </c>
      <c r="W13" s="20">
        <f t="shared" si="1"/>
        <v>0</v>
      </c>
    </row>
    <row r="14" spans="1:23" x14ac:dyDescent="0.2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5"/>
      <c r="P14" s="4" t="s">
        <v>18</v>
      </c>
      <c r="Q14" s="5" t="s">
        <v>30</v>
      </c>
      <c r="R14" s="5">
        <v>5836.5683530125498</v>
      </c>
      <c r="S14" s="7">
        <v>0.93170189645280499</v>
      </c>
      <c r="T14" s="5">
        <v>0</v>
      </c>
      <c r="U14" s="8">
        <v>0</v>
      </c>
      <c r="V14" s="20" t="str">
        <f t="shared" si="0"/>
        <v/>
      </c>
      <c r="W14" s="20">
        <f t="shared" si="1"/>
        <v>0</v>
      </c>
    </row>
    <row r="15" spans="1:23" x14ac:dyDescent="0.2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5"/>
      <c r="P15" s="4" t="s">
        <v>18</v>
      </c>
      <c r="Q15" s="5" t="s">
        <v>31</v>
      </c>
      <c r="R15" s="7">
        <v>5647.9386715896799</v>
      </c>
      <c r="S15" s="7">
        <v>0.89781557302564396</v>
      </c>
      <c r="T15" s="5">
        <v>2.4581499963127699E-5</v>
      </c>
      <c r="U15" s="8">
        <v>0</v>
      </c>
      <c r="V15" s="20">
        <f t="shared" si="0"/>
        <v>2.4581499963127699E-5</v>
      </c>
      <c r="W15" s="20">
        <f t="shared" si="1"/>
        <v>0</v>
      </c>
    </row>
    <row r="16" spans="1:23" x14ac:dyDescent="0.2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5"/>
      <c r="P16" s="4" t="s">
        <v>18</v>
      </c>
      <c r="Q16" s="5" t="s">
        <v>32</v>
      </c>
      <c r="R16" s="7">
        <v>5443.8585449187003</v>
      </c>
      <c r="S16" s="7">
        <v>0.85334692118223998</v>
      </c>
      <c r="T16" s="5">
        <v>2.6892160959661699E-2</v>
      </c>
      <c r="U16" s="8">
        <v>1.31511024802733E-2</v>
      </c>
      <c r="V16" s="20" t="str">
        <f t="shared" si="0"/>
        <v/>
      </c>
      <c r="W16" s="20">
        <f t="shared" si="1"/>
        <v>0</v>
      </c>
    </row>
    <row r="17" spans="1:23" x14ac:dyDescent="0.2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5"/>
      <c r="P17" s="4" t="s">
        <v>18</v>
      </c>
      <c r="Q17" s="5" t="s">
        <v>33</v>
      </c>
      <c r="R17" s="7">
        <v>5737.6768940822403</v>
      </c>
      <c r="S17" s="7">
        <v>0.91412392417910304</v>
      </c>
      <c r="T17" s="5">
        <v>0</v>
      </c>
      <c r="U17" s="8">
        <v>0</v>
      </c>
      <c r="V17" s="20" t="str">
        <f t="shared" si="0"/>
        <v/>
      </c>
      <c r="W17" s="20">
        <f t="shared" si="1"/>
        <v>0</v>
      </c>
    </row>
    <row r="18" spans="1:23" x14ac:dyDescent="0.2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  <c r="O18" s="5"/>
      <c r="P18" s="4" t="s">
        <v>18</v>
      </c>
      <c r="Q18" s="5" t="s">
        <v>34</v>
      </c>
      <c r="R18" s="7">
        <v>5596.3658972937501</v>
      </c>
      <c r="S18" s="7">
        <v>0.88422880201228404</v>
      </c>
      <c r="T18" s="5">
        <v>1.96651999705022E-4</v>
      </c>
      <c r="U18" s="8">
        <v>0</v>
      </c>
      <c r="V18" s="20">
        <f t="shared" si="0"/>
        <v>1.96651999705022E-4</v>
      </c>
      <c r="W18" s="20">
        <f t="shared" si="1"/>
        <v>0</v>
      </c>
    </row>
    <row r="19" spans="1:23" x14ac:dyDescent="0.2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  <c r="O19" s="5"/>
      <c r="P19" s="4" t="s">
        <v>18</v>
      </c>
      <c r="Q19" s="5" t="s">
        <v>35</v>
      </c>
      <c r="R19" s="7">
        <v>5626.2350502344698</v>
      </c>
      <c r="S19" s="7">
        <v>0.89589089836298497</v>
      </c>
      <c r="T19" s="5">
        <v>0</v>
      </c>
      <c r="U19" s="8">
        <v>0</v>
      </c>
      <c r="V19" s="20" t="str">
        <f t="shared" si="0"/>
        <v/>
      </c>
      <c r="W19" s="20">
        <f t="shared" si="1"/>
        <v>0</v>
      </c>
    </row>
    <row r="20" spans="1:23" x14ac:dyDescent="0.2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  <c r="O20" s="5"/>
      <c r="P20" s="4" t="s">
        <v>18</v>
      </c>
      <c r="Q20" s="5" t="s">
        <v>36</v>
      </c>
      <c r="R20" s="7">
        <v>5532.9666023464897</v>
      </c>
      <c r="S20" s="7">
        <v>0.87400684823386499</v>
      </c>
      <c r="T20" s="5">
        <v>1.0570044984144901E-3</v>
      </c>
      <c r="U20" s="8">
        <v>0</v>
      </c>
      <c r="V20" s="20">
        <f t="shared" si="0"/>
        <v>1.0570044984144901E-3</v>
      </c>
      <c r="W20" s="20">
        <f t="shared" si="1"/>
        <v>0</v>
      </c>
    </row>
    <row r="21" spans="1:23" ht="17" thickBo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  <c r="O21" s="5"/>
      <c r="P21" s="4" t="s">
        <v>18</v>
      </c>
      <c r="Q21" s="5" t="s">
        <v>37</v>
      </c>
      <c r="R21" s="7">
        <v>5789.3047710012697</v>
      </c>
      <c r="S21" s="7">
        <v>0.84292818526062896</v>
      </c>
      <c r="T21" s="5">
        <v>3.4217447948673797E-2</v>
      </c>
      <c r="U21" s="8">
        <v>0</v>
      </c>
      <c r="V21" s="20">
        <f t="shared" si="0"/>
        <v>3.4217447948673797E-2</v>
      </c>
      <c r="W21" s="20">
        <f t="shared" si="1"/>
        <v>0</v>
      </c>
    </row>
    <row r="22" spans="1:23" x14ac:dyDescent="0.2">
      <c r="A22" s="4"/>
      <c r="B22" s="5"/>
      <c r="C22" s="5"/>
      <c r="D22" s="5"/>
      <c r="E22" s="5"/>
      <c r="F22" s="5"/>
      <c r="G22" s="5"/>
      <c r="H22" s="5"/>
      <c r="I22" s="5">
        <f>AVERAGE(T22:T31)</f>
        <v>2.2467490966298674E-3</v>
      </c>
      <c r="J22" s="5"/>
      <c r="K22" s="5">
        <f>AVERAGE(U22:U31)</f>
        <v>4.9654629925517993E-4</v>
      </c>
      <c r="L22" s="5"/>
      <c r="M22" s="5"/>
      <c r="N22" s="6">
        <v>0.9145833333333333</v>
      </c>
      <c r="O22" s="5" t="s">
        <v>20</v>
      </c>
      <c r="P22" s="13" t="s">
        <v>20</v>
      </c>
      <c r="Q22" s="14" t="s">
        <v>20</v>
      </c>
      <c r="R22" s="15">
        <v>5671.0402431815701</v>
      </c>
      <c r="S22" s="15">
        <v>0.89942435018653499</v>
      </c>
      <c r="T22" s="14">
        <v>0</v>
      </c>
      <c r="U22" s="16">
        <v>0</v>
      </c>
      <c r="V22" s="20" t="str">
        <f t="shared" si="0"/>
        <v/>
      </c>
      <c r="W22" s="20">
        <f t="shared" si="1"/>
        <v>0</v>
      </c>
    </row>
    <row r="23" spans="1:23" x14ac:dyDescent="0.2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5"/>
      <c r="P23" s="4" t="s">
        <v>20</v>
      </c>
      <c r="Q23" s="5" t="s">
        <v>38</v>
      </c>
      <c r="R23" s="7">
        <v>5525.1250574267497</v>
      </c>
      <c r="S23" s="7">
        <v>0.88341920954330699</v>
      </c>
      <c r="T23" s="5">
        <v>4.3263439935104803E-3</v>
      </c>
      <c r="U23" s="8">
        <v>4.9654629925517998E-3</v>
      </c>
      <c r="V23" s="20" t="str">
        <f t="shared" si="0"/>
        <v/>
      </c>
      <c r="W23" s="20">
        <f t="shared" si="1"/>
        <v>1</v>
      </c>
    </row>
    <row r="24" spans="1:23" x14ac:dyDescent="0.2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5"/>
      <c r="P24" s="4" t="s">
        <v>20</v>
      </c>
      <c r="Q24" s="5" t="s">
        <v>39</v>
      </c>
      <c r="R24" s="7">
        <v>5675.8695756385796</v>
      </c>
      <c r="S24" s="7">
        <v>0.91073678313847495</v>
      </c>
      <c r="T24" s="5">
        <v>0</v>
      </c>
      <c r="U24" s="8">
        <v>0</v>
      </c>
      <c r="V24" s="20" t="str">
        <f t="shared" si="0"/>
        <v/>
      </c>
      <c r="W24" s="20">
        <f t="shared" si="1"/>
        <v>0</v>
      </c>
    </row>
    <row r="25" spans="1:23" x14ac:dyDescent="0.2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5"/>
      <c r="P25" s="4" t="s">
        <v>20</v>
      </c>
      <c r="Q25" s="5" t="s">
        <v>40</v>
      </c>
      <c r="R25" s="5">
        <v>5673.3070691377598</v>
      </c>
      <c r="S25" s="7">
        <v>0.89668781345514903</v>
      </c>
      <c r="T25" s="5">
        <v>0</v>
      </c>
      <c r="U25" s="8">
        <v>0</v>
      </c>
      <c r="V25" s="20" t="str">
        <f t="shared" si="0"/>
        <v/>
      </c>
      <c r="W25" s="20">
        <f t="shared" si="1"/>
        <v>0</v>
      </c>
    </row>
    <row r="26" spans="1:23" x14ac:dyDescent="0.2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5"/>
      <c r="P26" s="4" t="s">
        <v>20</v>
      </c>
      <c r="Q26" s="5" t="s">
        <v>41</v>
      </c>
      <c r="R26" s="7">
        <v>5698.0191388073699</v>
      </c>
      <c r="S26" s="7">
        <v>0.90262757655789105</v>
      </c>
      <c r="T26" s="5">
        <v>0</v>
      </c>
      <c r="U26" s="8">
        <v>0</v>
      </c>
      <c r="V26" s="20" t="str">
        <f t="shared" si="0"/>
        <v/>
      </c>
      <c r="W26" s="20">
        <f t="shared" si="1"/>
        <v>0</v>
      </c>
    </row>
    <row r="27" spans="1:23" x14ac:dyDescent="0.2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5"/>
      <c r="P27" s="4" t="s">
        <v>20</v>
      </c>
      <c r="Q27" s="5" t="s">
        <v>42</v>
      </c>
      <c r="R27" s="7">
        <v>5652.6955247001497</v>
      </c>
      <c r="S27" s="7">
        <v>0.908271195529751</v>
      </c>
      <c r="T27" s="5">
        <v>0</v>
      </c>
      <c r="U27" s="8">
        <v>0</v>
      </c>
      <c r="V27" s="20" t="str">
        <f t="shared" si="0"/>
        <v/>
      </c>
      <c r="W27" s="20">
        <f t="shared" si="1"/>
        <v>0</v>
      </c>
    </row>
    <row r="28" spans="1:23" x14ac:dyDescent="0.2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5"/>
      <c r="P28" s="4" t="s">
        <v>20</v>
      </c>
      <c r="Q28" s="5" t="s">
        <v>43</v>
      </c>
      <c r="R28" s="7">
        <v>5544.2944637911496</v>
      </c>
      <c r="S28" s="7">
        <v>0.87992203470346297</v>
      </c>
      <c r="T28" s="5">
        <v>5.6537449915193799E-4</v>
      </c>
      <c r="U28" s="8">
        <v>0</v>
      </c>
      <c r="V28" s="20">
        <f t="shared" si="0"/>
        <v>5.6537449915193799E-4</v>
      </c>
      <c r="W28" s="20">
        <f t="shared" si="1"/>
        <v>0</v>
      </c>
    </row>
    <row r="29" spans="1:23" x14ac:dyDescent="0.2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  <c r="O29" s="5"/>
      <c r="P29" s="4" t="s">
        <v>20</v>
      </c>
      <c r="Q29" s="5" t="s">
        <v>44</v>
      </c>
      <c r="R29" s="7">
        <v>5627.9152140751603</v>
      </c>
      <c r="S29" s="7">
        <v>0.89017073602140895</v>
      </c>
      <c r="T29" s="5">
        <v>1.9665199970502201E-3</v>
      </c>
      <c r="U29" s="8">
        <v>0</v>
      </c>
      <c r="V29" s="20">
        <f t="shared" si="0"/>
        <v>1.9665199970502201E-3</v>
      </c>
      <c r="W29" s="20">
        <f t="shared" si="1"/>
        <v>0</v>
      </c>
    </row>
    <row r="30" spans="1:23" x14ac:dyDescent="0.2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5"/>
      <c r="P30" s="4" t="s">
        <v>20</v>
      </c>
      <c r="Q30" s="5" t="s">
        <v>45</v>
      </c>
      <c r="R30" s="7">
        <v>5568.26266707171</v>
      </c>
      <c r="S30" s="7">
        <v>0.89350073785648398</v>
      </c>
      <c r="T30" s="5">
        <v>1.54863449767704E-2</v>
      </c>
      <c r="U30" s="8">
        <v>0</v>
      </c>
      <c r="V30" s="20">
        <f t="shared" si="0"/>
        <v>1.54863449767704E-2</v>
      </c>
      <c r="W30" s="20">
        <f t="shared" si="1"/>
        <v>0</v>
      </c>
    </row>
    <row r="31" spans="1:23" ht="17" thickBot="1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7"/>
      <c r="O31" s="10"/>
      <c r="P31" s="9" t="s">
        <v>20</v>
      </c>
      <c r="Q31" s="10" t="s">
        <v>46</v>
      </c>
      <c r="R31" s="11">
        <v>5647.8545820834797</v>
      </c>
      <c r="S31" s="11">
        <v>0.89940691253000205</v>
      </c>
      <c r="T31" s="10">
        <v>1.22907499815638E-4</v>
      </c>
      <c r="U31" s="12">
        <v>0</v>
      </c>
      <c r="V31" s="20">
        <f t="shared" si="0"/>
        <v>1.22907499815638E-4</v>
      </c>
      <c r="W31" s="20">
        <f t="shared" si="1"/>
        <v>0</v>
      </c>
    </row>
    <row r="32" spans="1:23" x14ac:dyDescent="0.2">
      <c r="A32" s="4">
        <v>2</v>
      </c>
      <c r="B32" s="5">
        <v>22.32</v>
      </c>
      <c r="C32" s="5" t="s">
        <v>16</v>
      </c>
      <c r="D32" s="5">
        <v>13.71</v>
      </c>
      <c r="E32" s="5">
        <f>(D32/B32)*100</f>
        <v>61.424731182795696</v>
      </c>
      <c r="F32" s="5">
        <v>280</v>
      </c>
      <c r="G32" s="5">
        <v>73</v>
      </c>
      <c r="H32" s="5">
        <v>208</v>
      </c>
      <c r="I32" s="5">
        <f t="shared" ref="I32" si="2">AVERAGE(T32:T41)</f>
        <v>2.1975860967036131E-3</v>
      </c>
      <c r="J32" s="5">
        <f t="shared" ref="J32" si="3">AVERAGE(T32:T61)</f>
        <v>8.0873134878690011E-4</v>
      </c>
      <c r="K32" s="5">
        <f t="shared" ref="K32" si="4">AVERAGE(U32:U41)</f>
        <v>1.1922027482116934E-3</v>
      </c>
      <c r="L32" s="5">
        <f t="shared" ref="L32" si="5">AVERAGE(U32:U61)</f>
        <v>4.2771809935842199E-4</v>
      </c>
      <c r="M32" s="5">
        <v>100</v>
      </c>
      <c r="N32" s="6">
        <v>0.83958333333333335</v>
      </c>
      <c r="O32" s="5" t="s">
        <v>47</v>
      </c>
      <c r="P32" s="4" t="s">
        <v>47</v>
      </c>
      <c r="Q32" s="5" t="s">
        <v>47</v>
      </c>
      <c r="R32" s="5">
        <v>5749.317892221</v>
      </c>
      <c r="S32" s="7">
        <v>0.91380154427015203</v>
      </c>
      <c r="T32" s="5">
        <v>0</v>
      </c>
      <c r="U32" s="8">
        <v>0</v>
      </c>
      <c r="V32" s="20" t="str">
        <f t="shared" si="0"/>
        <v/>
      </c>
      <c r="W32" s="20">
        <f t="shared" si="1"/>
        <v>0</v>
      </c>
    </row>
    <row r="33" spans="1:23" x14ac:dyDescent="0.2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O33" s="22"/>
      <c r="P33" s="4" t="s">
        <v>47</v>
      </c>
      <c r="Q33" s="5" t="s">
        <v>49</v>
      </c>
      <c r="R33" s="7">
        <v>5654.7063429727596</v>
      </c>
      <c r="S33" s="7">
        <v>0.90164567947949004</v>
      </c>
      <c r="T33" s="5">
        <v>0</v>
      </c>
      <c r="U33" s="8">
        <v>0</v>
      </c>
      <c r="V33" s="20" t="str">
        <f t="shared" si="0"/>
        <v/>
      </c>
      <c r="W33" s="20">
        <f t="shared" si="1"/>
        <v>0</v>
      </c>
    </row>
    <row r="34" spans="1:23" x14ac:dyDescent="0.2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O34" s="22"/>
      <c r="P34" s="4" t="s">
        <v>47</v>
      </c>
      <c r="Q34" s="5" t="s">
        <v>51</v>
      </c>
      <c r="R34" s="7">
        <v>5735.5737083277199</v>
      </c>
      <c r="S34" s="7">
        <v>0.90789504527840004</v>
      </c>
      <c r="T34" s="5">
        <v>4.9162999926255499E-5</v>
      </c>
      <c r="U34" s="8">
        <v>0</v>
      </c>
      <c r="V34" s="20">
        <f t="shared" si="0"/>
        <v>4.9162999926255499E-5</v>
      </c>
      <c r="W34" s="20">
        <f t="shared" si="1"/>
        <v>0</v>
      </c>
    </row>
    <row r="35" spans="1:23" x14ac:dyDescent="0.2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  <c r="O35" s="5"/>
      <c r="P35" s="4" t="s">
        <v>47</v>
      </c>
      <c r="Q35" s="5" t="s">
        <v>52</v>
      </c>
      <c r="R35" s="7">
        <v>5623.6588260051603</v>
      </c>
      <c r="S35" s="7">
        <v>0.90382142551168898</v>
      </c>
      <c r="T35" s="5">
        <v>9.6605294855091998E-3</v>
      </c>
      <c r="U35" s="8">
        <v>0</v>
      </c>
      <c r="V35" s="20">
        <f t="shared" si="0"/>
        <v>9.6605294855091998E-3</v>
      </c>
      <c r="W35" s="20">
        <f t="shared" si="1"/>
        <v>0</v>
      </c>
    </row>
    <row r="36" spans="1:23" x14ac:dyDescent="0.2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  <c r="O36" s="5"/>
      <c r="P36" s="4" t="s">
        <v>47</v>
      </c>
      <c r="Q36" s="5" t="s">
        <v>53</v>
      </c>
      <c r="R36" s="7">
        <v>5841.5233865968003</v>
      </c>
      <c r="S36" s="7">
        <v>0.93781514337948102</v>
      </c>
      <c r="T36" s="5">
        <v>0</v>
      </c>
      <c r="U36" s="8">
        <v>0</v>
      </c>
      <c r="V36" s="20" t="str">
        <f t="shared" si="0"/>
        <v/>
      </c>
      <c r="W36" s="20">
        <f t="shared" si="1"/>
        <v>0</v>
      </c>
    </row>
    <row r="37" spans="1:23" x14ac:dyDescent="0.2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  <c r="O37" s="5"/>
      <c r="P37" s="4" t="s">
        <v>47</v>
      </c>
      <c r="Q37" s="5" t="s">
        <v>54</v>
      </c>
      <c r="R37" s="7">
        <v>5686.01699414819</v>
      </c>
      <c r="S37" s="7">
        <v>0.91041002059675202</v>
      </c>
      <c r="T37" s="5">
        <v>0</v>
      </c>
      <c r="U37" s="8">
        <v>0</v>
      </c>
      <c r="V37" s="20" t="str">
        <f t="shared" ref="V37:V100" si="6">IF(AND(U37=0,T37&lt;&gt;0), T37, "")</f>
        <v/>
      </c>
      <c r="W37" s="20">
        <f t="shared" ref="W37:W100" si="7">IF(U37&gt;T37,1,0)</f>
        <v>0</v>
      </c>
    </row>
    <row r="38" spans="1:23" x14ac:dyDescent="0.2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  <c r="O38" s="5"/>
      <c r="P38" s="4" t="s">
        <v>47</v>
      </c>
      <c r="Q38" s="5" t="s">
        <v>55</v>
      </c>
      <c r="R38" s="7">
        <v>5699.1010511887798</v>
      </c>
      <c r="S38" s="5">
        <v>0.92131769177656198</v>
      </c>
      <c r="T38" s="5">
        <v>1.2020353481969399E-2</v>
      </c>
      <c r="U38" s="8">
        <v>1.1627049482559401E-2</v>
      </c>
      <c r="V38" s="20" t="str">
        <f t="shared" si="6"/>
        <v/>
      </c>
      <c r="W38" s="20">
        <f t="shared" si="7"/>
        <v>0</v>
      </c>
    </row>
    <row r="39" spans="1:23" x14ac:dyDescent="0.2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/>
      <c r="O39" s="5"/>
      <c r="P39" s="4" t="s">
        <v>47</v>
      </c>
      <c r="Q39" s="5" t="s">
        <v>56</v>
      </c>
      <c r="R39" s="7">
        <v>5684.1392692401496</v>
      </c>
      <c r="S39" s="7">
        <v>0.91011956169603303</v>
      </c>
      <c r="T39" s="5">
        <v>0</v>
      </c>
      <c r="U39" s="8">
        <v>0</v>
      </c>
      <c r="V39" s="20" t="str">
        <f t="shared" si="6"/>
        <v/>
      </c>
      <c r="W39" s="20">
        <f t="shared" si="7"/>
        <v>0</v>
      </c>
    </row>
    <row r="40" spans="1:23" x14ac:dyDescent="0.2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6"/>
      <c r="O40" s="5"/>
      <c r="P40" s="4" t="s">
        <v>47</v>
      </c>
      <c r="Q40" s="5" t="s">
        <v>57</v>
      </c>
      <c r="R40" s="7">
        <v>5916.0151405489796</v>
      </c>
      <c r="S40" s="7">
        <v>0.946904651727276</v>
      </c>
      <c r="T40" s="5">
        <v>0</v>
      </c>
      <c r="U40" s="8">
        <v>0</v>
      </c>
      <c r="V40" s="20" t="str">
        <f t="shared" si="6"/>
        <v/>
      </c>
      <c r="W40" s="20">
        <f t="shared" si="7"/>
        <v>0</v>
      </c>
    </row>
    <row r="41" spans="1:23" ht="17" thickBot="1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6"/>
      <c r="O41" s="5"/>
      <c r="P41" s="9" t="s">
        <v>47</v>
      </c>
      <c r="Q41" s="10" t="s">
        <v>58</v>
      </c>
      <c r="R41" s="11">
        <v>5739.4085257943298</v>
      </c>
      <c r="S41" s="10">
        <v>0.92743981359897898</v>
      </c>
      <c r="T41" s="10">
        <v>2.4581499963127702E-4</v>
      </c>
      <c r="U41" s="12">
        <v>2.9497799955753302E-4</v>
      </c>
      <c r="V41" s="20" t="str">
        <f t="shared" si="6"/>
        <v/>
      </c>
      <c r="W41" s="20">
        <f t="shared" si="7"/>
        <v>1</v>
      </c>
    </row>
    <row r="42" spans="1:23" x14ac:dyDescent="0.2">
      <c r="A42" s="4"/>
      <c r="B42" s="5"/>
      <c r="C42" s="5"/>
      <c r="D42" s="5"/>
      <c r="E42" s="5"/>
      <c r="F42" s="5"/>
      <c r="G42" s="5"/>
      <c r="H42" s="5"/>
      <c r="I42" s="5">
        <f t="shared" ref="I42" si="8">AVERAGE(T42:T51)</f>
        <v>1.5732159976401681E-4</v>
      </c>
      <c r="J42" s="5"/>
      <c r="K42" s="5">
        <f t="shared" ref="K42" si="9">AVERAGE(U42:U51)</f>
        <v>2.9497799955753303E-5</v>
      </c>
      <c r="L42" s="5"/>
      <c r="M42" s="5"/>
      <c r="N42" s="6">
        <v>0.84027777777777779</v>
      </c>
      <c r="O42" s="5" t="s">
        <v>48</v>
      </c>
      <c r="P42" s="13" t="s">
        <v>48</v>
      </c>
      <c r="Q42" s="14" t="s">
        <v>48</v>
      </c>
      <c r="R42" s="15">
        <v>5561.9619427160997</v>
      </c>
      <c r="S42" s="15">
        <v>0.87820033108978801</v>
      </c>
      <c r="T42" s="14">
        <v>1.22907499815638E-4</v>
      </c>
      <c r="U42" s="16">
        <v>0</v>
      </c>
      <c r="V42" s="20">
        <f t="shared" si="6"/>
        <v>1.22907499815638E-4</v>
      </c>
      <c r="W42" s="20">
        <f t="shared" si="7"/>
        <v>0</v>
      </c>
    </row>
    <row r="43" spans="1:23" x14ac:dyDescent="0.2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O43" s="22"/>
      <c r="P43" s="4" t="s">
        <v>48</v>
      </c>
      <c r="Q43" s="5" t="s">
        <v>59</v>
      </c>
      <c r="R43" s="7">
        <v>5694.6094088273703</v>
      </c>
      <c r="S43" s="7">
        <v>0.91169458874185805</v>
      </c>
      <c r="T43" s="5">
        <v>0</v>
      </c>
      <c r="U43" s="8">
        <v>0</v>
      </c>
      <c r="V43" s="20" t="str">
        <f t="shared" si="6"/>
        <v/>
      </c>
      <c r="W43" s="20">
        <f t="shared" si="7"/>
        <v>0</v>
      </c>
    </row>
    <row r="44" spans="1:23" x14ac:dyDescent="0.2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6"/>
      <c r="O44" s="5"/>
      <c r="P44" s="4" t="s">
        <v>48</v>
      </c>
      <c r="Q44" s="5" t="s">
        <v>60</v>
      </c>
      <c r="R44" s="7">
        <v>5732.7721460159801</v>
      </c>
      <c r="S44" s="7">
        <v>0.91796703794622703</v>
      </c>
      <c r="T44" s="5">
        <v>0</v>
      </c>
      <c r="U44" s="8">
        <v>0</v>
      </c>
      <c r="V44" s="20" t="str">
        <f t="shared" si="6"/>
        <v/>
      </c>
      <c r="W44" s="20">
        <f t="shared" si="7"/>
        <v>0</v>
      </c>
    </row>
    <row r="45" spans="1:23" x14ac:dyDescent="0.2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  <c r="O45" s="5"/>
      <c r="P45" s="4" t="s">
        <v>48</v>
      </c>
      <c r="Q45" s="5" t="s">
        <v>61</v>
      </c>
      <c r="R45" s="7">
        <v>5935.5165386110102</v>
      </c>
      <c r="S45" s="7">
        <v>0.95917598687960004</v>
      </c>
      <c r="T45" s="5">
        <v>1.4503084978245301E-3</v>
      </c>
      <c r="U45" s="8">
        <v>2.9497799955753302E-4</v>
      </c>
      <c r="V45" s="20" t="str">
        <f t="shared" si="6"/>
        <v/>
      </c>
      <c r="W45" s="20">
        <f t="shared" si="7"/>
        <v>0</v>
      </c>
    </row>
    <row r="46" spans="1:23" x14ac:dyDescent="0.2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6"/>
      <c r="O46" s="5"/>
      <c r="P46" s="4" t="s">
        <v>48</v>
      </c>
      <c r="Q46" s="5" t="s">
        <v>62</v>
      </c>
      <c r="R46" s="7">
        <v>5846.8438123304904</v>
      </c>
      <c r="S46" s="7">
        <v>0.93660050423965802</v>
      </c>
      <c r="T46" s="5">
        <v>0</v>
      </c>
      <c r="U46" s="8">
        <v>0</v>
      </c>
      <c r="V46" s="20" t="str">
        <f t="shared" si="6"/>
        <v/>
      </c>
      <c r="W46" s="20">
        <f t="shared" si="7"/>
        <v>0</v>
      </c>
    </row>
    <row r="47" spans="1:23" x14ac:dyDescent="0.2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6"/>
      <c r="O47" s="5"/>
      <c r="P47" s="4" t="s">
        <v>48</v>
      </c>
      <c r="Q47" s="5" t="s">
        <v>63</v>
      </c>
      <c r="R47" s="7">
        <v>5943.8033354181298</v>
      </c>
      <c r="S47" s="7">
        <v>0.95356750039667204</v>
      </c>
      <c r="T47" s="5">
        <v>0</v>
      </c>
      <c r="U47" s="8">
        <v>0</v>
      </c>
      <c r="V47" s="20" t="str">
        <f t="shared" si="6"/>
        <v/>
      </c>
      <c r="W47" s="20">
        <f t="shared" si="7"/>
        <v>0</v>
      </c>
    </row>
    <row r="48" spans="1:23" x14ac:dyDescent="0.2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6"/>
      <c r="O48" s="5"/>
      <c r="P48" s="4" t="s">
        <v>48</v>
      </c>
      <c r="Q48" s="5" t="s">
        <v>64</v>
      </c>
      <c r="R48" s="5">
        <v>5820.0699599667396</v>
      </c>
      <c r="S48" s="5">
        <v>0.92798279891331503</v>
      </c>
      <c r="T48" s="5">
        <v>0</v>
      </c>
      <c r="U48" s="8">
        <v>0</v>
      </c>
      <c r="V48" s="20" t="str">
        <f t="shared" si="6"/>
        <v/>
      </c>
      <c r="W48" s="20">
        <f t="shared" si="7"/>
        <v>0</v>
      </c>
    </row>
    <row r="49" spans="1:23" x14ac:dyDescent="0.2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6"/>
      <c r="O49" s="5"/>
      <c r="P49" s="4" t="s">
        <v>48</v>
      </c>
      <c r="Q49" s="5" t="s">
        <v>65</v>
      </c>
      <c r="R49" s="7">
        <v>5736.8503725271203</v>
      </c>
      <c r="S49" s="7">
        <v>0.91619332207643001</v>
      </c>
      <c r="T49" s="5">
        <v>0</v>
      </c>
      <c r="U49" s="8">
        <v>0</v>
      </c>
      <c r="V49" s="20" t="str">
        <f t="shared" si="6"/>
        <v/>
      </c>
      <c r="W49" s="20">
        <f t="shared" si="7"/>
        <v>0</v>
      </c>
    </row>
    <row r="50" spans="1:23" x14ac:dyDescent="0.2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6"/>
      <c r="O50" s="5"/>
      <c r="P50" s="4" t="s">
        <v>48</v>
      </c>
      <c r="Q50" s="5" t="s">
        <v>66</v>
      </c>
      <c r="R50" s="7">
        <v>5709.21907923867</v>
      </c>
      <c r="S50" s="7">
        <v>0.90487813301775399</v>
      </c>
      <c r="T50" s="5">
        <v>0</v>
      </c>
      <c r="U50" s="8">
        <v>0</v>
      </c>
      <c r="V50" s="20" t="str">
        <f t="shared" si="6"/>
        <v/>
      </c>
      <c r="W50" s="20">
        <f t="shared" si="7"/>
        <v>0</v>
      </c>
    </row>
    <row r="51" spans="1:23" ht="17" thickBot="1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6"/>
      <c r="O51" s="5"/>
      <c r="P51" s="9" t="s">
        <v>48</v>
      </c>
      <c r="Q51" s="10" t="s">
        <v>67</v>
      </c>
      <c r="R51" s="11">
        <v>5736.5931464098203</v>
      </c>
      <c r="S51" s="11">
        <v>0.91943619500712004</v>
      </c>
      <c r="T51" s="10">
        <v>0</v>
      </c>
      <c r="U51" s="12">
        <v>0</v>
      </c>
      <c r="V51" s="20" t="str">
        <f t="shared" si="6"/>
        <v/>
      </c>
      <c r="W51" s="20">
        <f t="shared" si="7"/>
        <v>0</v>
      </c>
    </row>
    <row r="52" spans="1:23" x14ac:dyDescent="0.2">
      <c r="A52" s="4"/>
      <c r="B52" s="5"/>
      <c r="C52" s="5"/>
      <c r="D52" s="5"/>
      <c r="E52" s="5"/>
      <c r="F52" s="5"/>
      <c r="G52" s="5"/>
      <c r="H52" s="5"/>
      <c r="I52" s="5">
        <f t="shared" ref="I52" si="10">AVERAGE(T52:T61)</f>
        <v>7.1286349893070404E-5</v>
      </c>
      <c r="J52" s="5"/>
      <c r="K52" s="5">
        <f t="shared" ref="K52" si="11">AVERAGE(U52:U61)</f>
        <v>6.1453749907819296E-5</v>
      </c>
      <c r="L52" s="5"/>
      <c r="M52" s="5"/>
      <c r="N52" s="6">
        <v>0.84097222222222223</v>
      </c>
      <c r="O52" s="5" t="s">
        <v>50</v>
      </c>
      <c r="P52" s="13" t="s">
        <v>50</v>
      </c>
      <c r="Q52" s="14" t="s">
        <v>50</v>
      </c>
      <c r="R52" s="15">
        <v>5676.50225347795</v>
      </c>
      <c r="S52" s="15">
        <v>0.90831668276402699</v>
      </c>
      <c r="T52" s="14">
        <v>0</v>
      </c>
      <c r="U52" s="16">
        <v>0</v>
      </c>
      <c r="V52" s="20" t="str">
        <f t="shared" si="6"/>
        <v/>
      </c>
      <c r="W52" s="20">
        <f t="shared" si="7"/>
        <v>0</v>
      </c>
    </row>
    <row r="53" spans="1:23" x14ac:dyDescent="0.2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6"/>
      <c r="O53" s="5"/>
      <c r="P53" s="4" t="s">
        <v>50</v>
      </c>
      <c r="Q53" s="5" t="s">
        <v>68</v>
      </c>
      <c r="R53" s="7">
        <v>5852.51142386836</v>
      </c>
      <c r="S53" s="7">
        <v>0.94224041335313402</v>
      </c>
      <c r="T53" s="5">
        <v>0</v>
      </c>
      <c r="U53" s="8">
        <v>0</v>
      </c>
      <c r="V53" s="20" t="str">
        <f t="shared" si="6"/>
        <v/>
      </c>
      <c r="W53" s="20">
        <f t="shared" si="7"/>
        <v>0</v>
      </c>
    </row>
    <row r="54" spans="1:23" x14ac:dyDescent="0.2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6"/>
      <c r="O54" s="5"/>
      <c r="P54" s="4" t="s">
        <v>50</v>
      </c>
      <c r="Q54" s="5" t="s">
        <v>69</v>
      </c>
      <c r="R54" s="7">
        <v>5771.3927649840498</v>
      </c>
      <c r="S54" s="7">
        <v>0.91992499078171097</v>
      </c>
      <c r="T54" s="5">
        <v>0</v>
      </c>
      <c r="U54" s="8">
        <v>0</v>
      </c>
      <c r="V54" s="20" t="str">
        <f t="shared" si="6"/>
        <v/>
      </c>
      <c r="W54" s="20">
        <f t="shared" si="7"/>
        <v>0</v>
      </c>
    </row>
    <row r="55" spans="1:23" x14ac:dyDescent="0.2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6"/>
      <c r="O55" s="5"/>
      <c r="P55" s="4" t="s">
        <v>50</v>
      </c>
      <c r="Q55" s="5" t="s">
        <v>70</v>
      </c>
      <c r="R55" s="7">
        <v>5641.7122435507799</v>
      </c>
      <c r="S55" s="7">
        <v>0.905020585399953</v>
      </c>
      <c r="T55" s="5">
        <v>0</v>
      </c>
      <c r="U55" s="8">
        <v>0</v>
      </c>
      <c r="V55" s="20" t="str">
        <f t="shared" si="6"/>
        <v/>
      </c>
      <c r="W55" s="20">
        <f t="shared" si="7"/>
        <v>0</v>
      </c>
    </row>
    <row r="56" spans="1:23" x14ac:dyDescent="0.2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6"/>
      <c r="O56" s="5"/>
      <c r="P56" s="4" t="s">
        <v>50</v>
      </c>
      <c r="Q56" s="5" t="s">
        <v>71</v>
      </c>
      <c r="R56" s="5">
        <v>5817.8428457023601</v>
      </c>
      <c r="S56" s="5">
        <v>0.92311878962674698</v>
      </c>
      <c r="T56" s="5">
        <v>0</v>
      </c>
      <c r="U56" s="8">
        <v>0</v>
      </c>
      <c r="V56" s="20" t="str">
        <f t="shared" si="6"/>
        <v/>
      </c>
      <c r="W56" s="20">
        <f t="shared" si="7"/>
        <v>0</v>
      </c>
    </row>
    <row r="57" spans="1:23" x14ac:dyDescent="0.2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6"/>
      <c r="O57" s="5"/>
      <c r="P57" s="4" t="s">
        <v>50</v>
      </c>
      <c r="Q57" s="5" t="s">
        <v>72</v>
      </c>
      <c r="R57" s="7">
        <v>5504.1828137783496</v>
      </c>
      <c r="S57" s="7">
        <v>0.878815385265168</v>
      </c>
      <c r="T57" s="5">
        <v>0</v>
      </c>
      <c r="U57" s="8">
        <v>0</v>
      </c>
      <c r="V57" s="20" t="str">
        <f t="shared" si="6"/>
        <v/>
      </c>
      <c r="W57" s="20">
        <f t="shared" si="7"/>
        <v>0</v>
      </c>
    </row>
    <row r="58" spans="1:23" x14ac:dyDescent="0.2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6"/>
      <c r="O58" s="5"/>
      <c r="P58" s="4" t="s">
        <v>50</v>
      </c>
      <c r="Q58" s="5" t="s">
        <v>73</v>
      </c>
      <c r="R58" s="7">
        <v>5757.4310874927696</v>
      </c>
      <c r="S58" s="7">
        <v>0.90985657775872797</v>
      </c>
      <c r="T58" s="5">
        <v>2.4581499963127702E-4</v>
      </c>
      <c r="U58" s="8">
        <v>0</v>
      </c>
      <c r="V58" s="20">
        <f t="shared" si="6"/>
        <v>2.4581499963127702E-4</v>
      </c>
      <c r="W58" s="20">
        <f t="shared" si="7"/>
        <v>0</v>
      </c>
    </row>
    <row r="59" spans="1:23" x14ac:dyDescent="0.2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6"/>
      <c r="O59" s="5"/>
      <c r="P59" s="4" t="s">
        <v>50</v>
      </c>
      <c r="Q59" s="5" t="s">
        <v>74</v>
      </c>
      <c r="R59" s="7">
        <v>5772.6621835975502</v>
      </c>
      <c r="S59" s="7">
        <v>0.92959739933497398</v>
      </c>
      <c r="T59" s="5">
        <v>0</v>
      </c>
      <c r="U59" s="8">
        <v>0</v>
      </c>
      <c r="V59" s="20" t="str">
        <f t="shared" si="6"/>
        <v/>
      </c>
      <c r="W59" s="20">
        <f t="shared" si="7"/>
        <v>0</v>
      </c>
    </row>
    <row r="60" spans="1:23" x14ac:dyDescent="0.2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6"/>
      <c r="O60" s="5"/>
      <c r="P60" s="4" t="s">
        <v>50</v>
      </c>
      <c r="Q60" s="5" t="s">
        <v>75</v>
      </c>
      <c r="R60" s="7">
        <v>5521.2414971457902</v>
      </c>
      <c r="S60" s="5">
        <v>0.88154379241164205</v>
      </c>
      <c r="T60" s="5">
        <v>4.6704849929942702E-4</v>
      </c>
      <c r="U60" s="8">
        <v>6.1453749907819301E-4</v>
      </c>
      <c r="V60" s="20" t="str">
        <f t="shared" si="6"/>
        <v/>
      </c>
      <c r="W60" s="20">
        <f t="shared" si="7"/>
        <v>1</v>
      </c>
    </row>
    <row r="61" spans="1:23" ht="17" thickBot="1" x14ac:dyDescent="0.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7"/>
      <c r="O61" s="10"/>
      <c r="P61" s="9" t="s">
        <v>50</v>
      </c>
      <c r="Q61" s="10" t="s">
        <v>76</v>
      </c>
      <c r="R61" s="11">
        <v>5720.5035173471497</v>
      </c>
      <c r="S61" s="10">
        <v>0.91832786685465395</v>
      </c>
      <c r="T61" s="10">
        <v>0</v>
      </c>
      <c r="U61" s="12">
        <v>0</v>
      </c>
      <c r="V61" s="20" t="str">
        <f t="shared" si="6"/>
        <v/>
      </c>
      <c r="W61" s="20">
        <f t="shared" si="7"/>
        <v>0</v>
      </c>
    </row>
    <row r="62" spans="1:23" x14ac:dyDescent="0.2">
      <c r="A62" s="4">
        <v>3</v>
      </c>
      <c r="B62" s="5">
        <v>17.100000000000001</v>
      </c>
      <c r="C62" s="5" t="s">
        <v>16</v>
      </c>
      <c r="D62" s="5">
        <v>10.53</v>
      </c>
      <c r="E62" s="5">
        <f>(D62/B62)*100</f>
        <v>61.578947368421041</v>
      </c>
      <c r="F62" s="5">
        <v>192</v>
      </c>
      <c r="G62" s="5">
        <v>126</v>
      </c>
      <c r="H62" s="5">
        <v>155</v>
      </c>
      <c r="I62" s="5">
        <f t="shared" ref="I62" si="12">AVERAGE(T62:T71)</f>
        <v>0</v>
      </c>
      <c r="J62" s="5">
        <f t="shared" ref="J62" si="13">AVERAGE(T62:T91)</f>
        <v>1.0676564817318466E-3</v>
      </c>
      <c r="K62" s="5">
        <f t="shared" ref="K62" si="14">AVERAGE(U62:U71)</f>
        <v>0</v>
      </c>
      <c r="L62" s="5">
        <f t="shared" ref="L62" si="15">AVERAGE(U62:U91)</f>
        <v>1.0176740984734834E-3</v>
      </c>
      <c r="M62" s="5">
        <v>100</v>
      </c>
      <c r="N62" s="6">
        <v>0.85555555555555551</v>
      </c>
      <c r="O62" s="5" t="s">
        <v>77</v>
      </c>
      <c r="P62" s="4" t="s">
        <v>77</v>
      </c>
      <c r="Q62" s="5" t="s">
        <v>77</v>
      </c>
      <c r="R62" s="5">
        <v>5939.0645919458502</v>
      </c>
      <c r="S62" s="7">
        <v>0.95848028054594003</v>
      </c>
      <c r="T62" s="5">
        <v>0</v>
      </c>
      <c r="U62" s="8">
        <v>0</v>
      </c>
      <c r="V62" s="20" t="str">
        <f t="shared" si="6"/>
        <v/>
      </c>
      <c r="W62" s="20">
        <f t="shared" si="7"/>
        <v>0</v>
      </c>
    </row>
    <row r="63" spans="1:23" x14ac:dyDescent="0.2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O63" s="22"/>
      <c r="P63" s="4" t="s">
        <v>77</v>
      </c>
      <c r="Q63" s="5" t="s">
        <v>79</v>
      </c>
      <c r="R63" s="7">
        <v>5901.3176936056998</v>
      </c>
      <c r="S63" s="7">
        <v>0.94931359436162399</v>
      </c>
      <c r="T63" s="5">
        <v>0</v>
      </c>
      <c r="U63" s="8">
        <v>0</v>
      </c>
      <c r="V63" s="20" t="str">
        <f t="shared" si="6"/>
        <v/>
      </c>
      <c r="W63" s="20">
        <f t="shared" si="7"/>
        <v>0</v>
      </c>
    </row>
    <row r="64" spans="1:23" x14ac:dyDescent="0.2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O64" s="22"/>
      <c r="P64" s="4" t="s">
        <v>77</v>
      </c>
      <c r="Q64" s="5" t="s">
        <v>81</v>
      </c>
      <c r="R64" s="7">
        <v>5951.4568746166997</v>
      </c>
      <c r="S64" s="7">
        <v>0.95626208637268695</v>
      </c>
      <c r="T64" s="5">
        <v>0</v>
      </c>
      <c r="U64" s="8">
        <v>0</v>
      </c>
      <c r="V64" s="20" t="str">
        <f t="shared" si="6"/>
        <v/>
      </c>
      <c r="W64" s="20">
        <f t="shared" si="7"/>
        <v>0</v>
      </c>
    </row>
    <row r="65" spans="1:23" x14ac:dyDescent="0.2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6"/>
      <c r="O65" s="5"/>
      <c r="P65" s="4" t="s">
        <v>77</v>
      </c>
      <c r="Q65" s="5" t="s">
        <v>82</v>
      </c>
      <c r="R65" s="7">
        <v>5946.0705470283901</v>
      </c>
      <c r="S65" s="7">
        <v>0.95750698657703504</v>
      </c>
      <c r="T65" s="5">
        <v>0</v>
      </c>
      <c r="U65" s="8">
        <v>0</v>
      </c>
      <c r="V65" s="20" t="str">
        <f t="shared" si="6"/>
        <v/>
      </c>
      <c r="W65" s="20">
        <f t="shared" si="7"/>
        <v>0</v>
      </c>
    </row>
    <row r="66" spans="1:23" x14ac:dyDescent="0.2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6"/>
      <c r="O66" s="5"/>
      <c r="P66" s="4" t="s">
        <v>77</v>
      </c>
      <c r="Q66" s="5" t="s">
        <v>83</v>
      </c>
      <c r="R66" s="7">
        <v>5960.1554773796797</v>
      </c>
      <c r="S66" s="7">
        <v>0.96102062427940305</v>
      </c>
      <c r="T66" s="5">
        <v>0</v>
      </c>
      <c r="U66" s="8">
        <v>0</v>
      </c>
      <c r="V66" s="20" t="str">
        <f t="shared" si="6"/>
        <v/>
      </c>
      <c r="W66" s="20">
        <f t="shared" si="7"/>
        <v>0</v>
      </c>
    </row>
    <row r="67" spans="1:23" x14ac:dyDescent="0.2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6"/>
      <c r="O67" s="5"/>
      <c r="P67" s="4" t="s">
        <v>77</v>
      </c>
      <c r="Q67" s="5" t="s">
        <v>84</v>
      </c>
      <c r="R67" s="7">
        <v>5700.5132372857697</v>
      </c>
      <c r="S67" s="7">
        <v>0.95169244614148596</v>
      </c>
      <c r="T67" s="5">
        <v>0</v>
      </c>
      <c r="U67" s="8">
        <v>0</v>
      </c>
      <c r="V67" s="20" t="str">
        <f t="shared" si="6"/>
        <v/>
      </c>
      <c r="W67" s="20">
        <f t="shared" si="7"/>
        <v>0</v>
      </c>
    </row>
    <row r="68" spans="1:23" x14ac:dyDescent="0.2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6"/>
      <c r="O68" s="5"/>
      <c r="P68" s="4" t="s">
        <v>77</v>
      </c>
      <c r="Q68" s="5" t="s">
        <v>85</v>
      </c>
      <c r="R68" s="7">
        <v>5888.26323646727</v>
      </c>
      <c r="S68" s="5">
        <v>0.94840209176516199</v>
      </c>
      <c r="T68" s="5">
        <v>0</v>
      </c>
      <c r="U68" s="8">
        <v>0</v>
      </c>
      <c r="V68" s="20" t="str">
        <f t="shared" si="6"/>
        <v/>
      </c>
      <c r="W68" s="20">
        <f t="shared" si="7"/>
        <v>0</v>
      </c>
    </row>
    <row r="69" spans="1:23" x14ac:dyDescent="0.2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6"/>
      <c r="O69" s="5"/>
      <c r="P69" s="4" t="s">
        <v>77</v>
      </c>
      <c r="Q69" s="5" t="s">
        <v>86</v>
      </c>
      <c r="R69" s="7">
        <v>5916.3236732444902</v>
      </c>
      <c r="S69" s="7">
        <v>0.95322669785925596</v>
      </c>
      <c r="T69" s="5">
        <v>0</v>
      </c>
      <c r="U69" s="8">
        <v>0</v>
      </c>
      <c r="V69" s="20" t="str">
        <f t="shared" si="6"/>
        <v/>
      </c>
      <c r="W69" s="20">
        <f t="shared" si="7"/>
        <v>0</v>
      </c>
    </row>
    <row r="70" spans="1:23" x14ac:dyDescent="0.2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6"/>
      <c r="O70" s="5"/>
      <c r="P70" s="4" t="s">
        <v>77</v>
      </c>
      <c r="Q70" s="5" t="s">
        <v>87</v>
      </c>
      <c r="R70" s="7">
        <v>5973.4920556366797</v>
      </c>
      <c r="S70" s="7">
        <v>0.96210444634919801</v>
      </c>
      <c r="T70" s="5">
        <v>0</v>
      </c>
      <c r="U70" s="8">
        <v>0</v>
      </c>
      <c r="V70" s="20" t="str">
        <f t="shared" si="6"/>
        <v/>
      </c>
      <c r="W70" s="20">
        <f t="shared" si="7"/>
        <v>0</v>
      </c>
    </row>
    <row r="71" spans="1:23" ht="17" thickBot="1" x14ac:dyDescent="0.2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6"/>
      <c r="O71" s="5"/>
      <c r="P71" s="9" t="s">
        <v>77</v>
      </c>
      <c r="Q71" s="10" t="s">
        <v>88</v>
      </c>
      <c r="R71" s="11">
        <v>5922.0313953375799</v>
      </c>
      <c r="S71" s="10">
        <v>0.95277786364777395</v>
      </c>
      <c r="T71" s="10">
        <v>0</v>
      </c>
      <c r="U71" s="12">
        <v>0</v>
      </c>
      <c r="V71" s="20" t="str">
        <f t="shared" si="6"/>
        <v/>
      </c>
      <c r="W71" s="20">
        <f t="shared" si="7"/>
        <v>0</v>
      </c>
    </row>
    <row r="72" spans="1:23" x14ac:dyDescent="0.2">
      <c r="A72" s="4"/>
      <c r="B72" s="5"/>
      <c r="C72" s="5"/>
      <c r="D72" s="5"/>
      <c r="E72" s="5"/>
      <c r="F72" s="5"/>
      <c r="G72" s="5"/>
      <c r="H72" s="5"/>
      <c r="I72" s="5">
        <f t="shared" ref="I72" si="16">AVERAGE(T72:T81)</f>
        <v>3.2029694451955401E-3</v>
      </c>
      <c r="J72" s="5"/>
      <c r="K72" s="5">
        <f t="shared" ref="K72" si="17">AVERAGE(U72:U81)</f>
        <v>3.0530222954204501E-3</v>
      </c>
      <c r="L72" s="5"/>
      <c r="M72" s="5"/>
      <c r="N72" s="6">
        <v>0.85555555555555551</v>
      </c>
      <c r="O72" s="5" t="s">
        <v>78</v>
      </c>
      <c r="P72" s="13" t="s">
        <v>78</v>
      </c>
      <c r="Q72" s="14" t="s">
        <v>78</v>
      </c>
      <c r="R72" s="15">
        <v>5854.3488709123203</v>
      </c>
      <c r="S72" s="15">
        <v>0.94721786983776401</v>
      </c>
      <c r="T72" s="14">
        <v>1.92718959710921E-2</v>
      </c>
      <c r="U72" s="16">
        <v>1.8485287972271999E-2</v>
      </c>
      <c r="V72" s="20" t="str">
        <f t="shared" si="6"/>
        <v/>
      </c>
      <c r="W72" s="20">
        <f t="shared" si="7"/>
        <v>0</v>
      </c>
    </row>
    <row r="73" spans="1:23" x14ac:dyDescent="0.2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O73" s="22"/>
      <c r="P73" s="4" t="s">
        <v>78</v>
      </c>
      <c r="Q73" s="5" t="s">
        <v>89</v>
      </c>
      <c r="R73" s="7">
        <v>6002.60825989967</v>
      </c>
      <c r="S73" s="7">
        <v>0.95578463568650796</v>
      </c>
      <c r="T73" s="5">
        <v>0</v>
      </c>
      <c r="U73" s="8">
        <v>0</v>
      </c>
      <c r="V73" s="20" t="str">
        <f t="shared" si="6"/>
        <v/>
      </c>
      <c r="W73" s="20">
        <f t="shared" si="7"/>
        <v>0</v>
      </c>
    </row>
    <row r="74" spans="1:23" x14ac:dyDescent="0.2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6"/>
      <c r="O74" s="5"/>
      <c r="P74" s="4" t="s">
        <v>78</v>
      </c>
      <c r="Q74" s="5" t="s">
        <v>90</v>
      </c>
      <c r="R74" s="7">
        <v>5828.7821145621501</v>
      </c>
      <c r="S74" s="7">
        <v>0.93711861475870095</v>
      </c>
      <c r="T74" s="5">
        <v>0</v>
      </c>
      <c r="U74" s="8">
        <v>0</v>
      </c>
      <c r="V74" s="20" t="str">
        <f t="shared" si="6"/>
        <v/>
      </c>
      <c r="W74" s="20">
        <f t="shared" si="7"/>
        <v>0</v>
      </c>
    </row>
    <row r="75" spans="1:23" x14ac:dyDescent="0.2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6"/>
      <c r="O75" s="5"/>
      <c r="P75" s="4" t="s">
        <v>78</v>
      </c>
      <c r="Q75" s="5" t="s">
        <v>91</v>
      </c>
      <c r="R75" s="7">
        <v>5937.2140210364596</v>
      </c>
      <c r="S75" s="7">
        <v>0.95357631422633804</v>
      </c>
      <c r="T75" s="5">
        <v>0</v>
      </c>
      <c r="U75" s="8">
        <v>0</v>
      </c>
      <c r="V75" s="20" t="str">
        <f t="shared" si="6"/>
        <v/>
      </c>
      <c r="W75" s="20">
        <f t="shared" si="7"/>
        <v>0</v>
      </c>
    </row>
    <row r="76" spans="1:23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6"/>
      <c r="O76" s="5"/>
      <c r="P76" s="4" t="s">
        <v>78</v>
      </c>
      <c r="Q76" s="5" t="s">
        <v>92</v>
      </c>
      <c r="R76" s="7">
        <v>5900.4497462248501</v>
      </c>
      <c r="S76" s="7">
        <v>0.95048126945301903</v>
      </c>
      <c r="T76" s="5">
        <v>0</v>
      </c>
      <c r="U76" s="8">
        <v>0</v>
      </c>
      <c r="V76" s="20" t="str">
        <f t="shared" si="6"/>
        <v/>
      </c>
      <c r="W76" s="20">
        <f t="shared" si="7"/>
        <v>0</v>
      </c>
    </row>
    <row r="77" spans="1:23" x14ac:dyDescent="0.2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6"/>
      <c r="O77" s="5"/>
      <c r="P77" s="4" t="s">
        <v>78</v>
      </c>
      <c r="Q77" s="5" t="s">
        <v>93</v>
      </c>
      <c r="R77" s="7">
        <v>5986.5358736013904</v>
      </c>
      <c r="S77" s="7">
        <v>0.96334058170444203</v>
      </c>
      <c r="T77" s="5">
        <v>0</v>
      </c>
      <c r="U77" s="8">
        <v>0</v>
      </c>
      <c r="V77" s="20" t="str">
        <f t="shared" si="6"/>
        <v/>
      </c>
      <c r="W77" s="20">
        <f t="shared" si="7"/>
        <v>0</v>
      </c>
    </row>
    <row r="78" spans="1:23" x14ac:dyDescent="0.2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6"/>
      <c r="O78" s="5"/>
      <c r="P78" s="4" t="s">
        <v>78</v>
      </c>
      <c r="Q78" s="5" t="s">
        <v>94</v>
      </c>
      <c r="R78" s="5">
        <v>5883.5366209467802</v>
      </c>
      <c r="S78" s="5">
        <v>0.94410939047798703</v>
      </c>
      <c r="T78" s="5">
        <v>0</v>
      </c>
      <c r="U78" s="8">
        <v>0</v>
      </c>
      <c r="V78" s="20" t="str">
        <f t="shared" si="6"/>
        <v/>
      </c>
      <c r="W78" s="20">
        <f t="shared" si="7"/>
        <v>0</v>
      </c>
    </row>
    <row r="79" spans="1:23" x14ac:dyDescent="0.2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6"/>
      <c r="O79" s="5"/>
      <c r="P79" s="4" t="s">
        <v>78</v>
      </c>
      <c r="Q79" s="5" t="s">
        <v>95</v>
      </c>
      <c r="R79" s="7">
        <v>5958.63317301394</v>
      </c>
      <c r="S79" s="7">
        <v>0.95809567564796605</v>
      </c>
      <c r="T79" s="5">
        <v>0</v>
      </c>
      <c r="U79" s="8">
        <v>0</v>
      </c>
      <c r="V79" s="20" t="str">
        <f t="shared" si="6"/>
        <v/>
      </c>
      <c r="W79" s="20">
        <f t="shared" si="7"/>
        <v>0</v>
      </c>
    </row>
    <row r="80" spans="1:23" x14ac:dyDescent="0.2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6"/>
      <c r="O80" s="5"/>
      <c r="P80" s="4" t="s">
        <v>78</v>
      </c>
      <c r="Q80" s="5" t="s">
        <v>96</v>
      </c>
      <c r="R80" s="7">
        <v>5928.0762385886401</v>
      </c>
      <c r="S80" s="7">
        <v>0.95828790249689499</v>
      </c>
      <c r="T80" s="5">
        <v>1.27577984808633E-2</v>
      </c>
      <c r="U80" s="8">
        <v>1.2044934981932501E-2</v>
      </c>
      <c r="V80" s="20" t="str">
        <f t="shared" si="6"/>
        <v/>
      </c>
      <c r="W80" s="20">
        <f t="shared" si="7"/>
        <v>0</v>
      </c>
    </row>
    <row r="81" spans="1:23" ht="17" thickBot="1" x14ac:dyDescent="0.2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6"/>
      <c r="O81" s="5"/>
      <c r="P81" s="9" t="s">
        <v>78</v>
      </c>
      <c r="Q81" s="10" t="s">
        <v>97</v>
      </c>
      <c r="R81" s="11">
        <v>5876.3833938755097</v>
      </c>
      <c r="S81" s="11">
        <v>0.94546303442902002</v>
      </c>
      <c r="T81" s="10">
        <v>0</v>
      </c>
      <c r="U81" s="12">
        <v>0</v>
      </c>
      <c r="V81" s="20" t="str">
        <f t="shared" si="6"/>
        <v/>
      </c>
      <c r="W81" s="20">
        <f t="shared" si="7"/>
        <v>0</v>
      </c>
    </row>
    <row r="82" spans="1:23" x14ac:dyDescent="0.2">
      <c r="A82" s="4"/>
      <c r="B82" s="5"/>
      <c r="C82" s="5"/>
      <c r="D82" s="5"/>
      <c r="E82" s="5"/>
      <c r="F82" s="5"/>
      <c r="G82" s="5"/>
      <c r="H82" s="5"/>
      <c r="I82" s="5">
        <f t="shared" ref="I82" si="18">AVERAGE(T82:T91)</f>
        <v>0</v>
      </c>
      <c r="J82" s="5"/>
      <c r="K82" s="5">
        <f t="shared" ref="K82" si="19">AVERAGE(U82:U91)</f>
        <v>0</v>
      </c>
      <c r="L82" s="5"/>
      <c r="M82" s="5"/>
      <c r="N82" s="6">
        <v>0.8569444444444444</v>
      </c>
      <c r="O82" s="5" t="s">
        <v>80</v>
      </c>
      <c r="P82" s="13" t="s">
        <v>80</v>
      </c>
      <c r="Q82" s="14" t="s">
        <v>80</v>
      </c>
      <c r="R82" s="15">
        <v>5872.1130427267299</v>
      </c>
      <c r="S82" s="15">
        <v>0.93929477735661404</v>
      </c>
      <c r="T82" s="14">
        <v>0</v>
      </c>
      <c r="U82" s="16">
        <v>0</v>
      </c>
      <c r="V82" s="20" t="str">
        <f t="shared" si="6"/>
        <v/>
      </c>
      <c r="W82" s="20">
        <f t="shared" si="7"/>
        <v>0</v>
      </c>
    </row>
    <row r="83" spans="1:23" x14ac:dyDescent="0.2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6"/>
      <c r="O83" s="5"/>
      <c r="P83" s="4" t="s">
        <v>80</v>
      </c>
      <c r="Q83" s="5" t="s">
        <v>98</v>
      </c>
      <c r="R83" s="7">
        <v>5874.9499614571496</v>
      </c>
      <c r="S83" s="7">
        <v>0.94233675682302798</v>
      </c>
      <c r="T83" s="5">
        <v>0</v>
      </c>
      <c r="U83" s="8">
        <v>0</v>
      </c>
      <c r="V83" s="20" t="str">
        <f t="shared" si="6"/>
        <v/>
      </c>
      <c r="W83" s="20">
        <f t="shared" si="7"/>
        <v>0</v>
      </c>
    </row>
    <row r="84" spans="1:23" x14ac:dyDescent="0.2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6"/>
      <c r="O84" s="5"/>
      <c r="P84" s="4" t="s">
        <v>80</v>
      </c>
      <c r="Q84" s="5" t="s">
        <v>99</v>
      </c>
      <c r="R84" s="7">
        <v>5857.4269846551897</v>
      </c>
      <c r="S84" s="7">
        <v>0.94278608957214005</v>
      </c>
      <c r="T84" s="5">
        <v>0</v>
      </c>
      <c r="U84" s="8">
        <v>0</v>
      </c>
      <c r="V84" s="20" t="str">
        <f t="shared" si="6"/>
        <v/>
      </c>
      <c r="W84" s="20">
        <f t="shared" si="7"/>
        <v>0</v>
      </c>
    </row>
    <row r="85" spans="1:23" x14ac:dyDescent="0.2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6"/>
      <c r="O85" s="5"/>
      <c r="P85" s="4" t="s">
        <v>80</v>
      </c>
      <c r="Q85" s="5" t="s">
        <v>100</v>
      </c>
      <c r="R85" s="7">
        <v>6196.2956968267599</v>
      </c>
      <c r="S85" s="7">
        <v>0.95758219335678796</v>
      </c>
      <c r="T85" s="5">
        <v>0</v>
      </c>
      <c r="U85" s="8">
        <v>0</v>
      </c>
      <c r="V85" s="20" t="str">
        <f t="shared" si="6"/>
        <v/>
      </c>
      <c r="W85" s="20">
        <f t="shared" si="7"/>
        <v>0</v>
      </c>
    </row>
    <row r="86" spans="1:23" x14ac:dyDescent="0.2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6"/>
      <c r="O86" s="5"/>
      <c r="P86" s="4" t="s">
        <v>80</v>
      </c>
      <c r="Q86" s="5" t="s">
        <v>101</v>
      </c>
      <c r="R86" s="5">
        <v>5410.5431398246801</v>
      </c>
      <c r="S86" s="5">
        <v>0.94685430145523697</v>
      </c>
      <c r="T86" s="5">
        <v>0</v>
      </c>
      <c r="U86" s="8">
        <v>0</v>
      </c>
      <c r="V86" s="20" t="str">
        <f t="shared" si="6"/>
        <v/>
      </c>
      <c r="W86" s="20">
        <f t="shared" si="7"/>
        <v>0</v>
      </c>
    </row>
    <row r="87" spans="1:23" x14ac:dyDescent="0.2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6"/>
      <c r="O87" s="5"/>
      <c r="P87" s="4" t="s">
        <v>80</v>
      </c>
      <c r="Q87" s="5" t="s">
        <v>102</v>
      </c>
      <c r="R87" s="7">
        <v>5958.3975966808202</v>
      </c>
      <c r="S87" s="7">
        <v>0.95715688950252198</v>
      </c>
      <c r="T87" s="5">
        <v>0</v>
      </c>
      <c r="U87" s="8">
        <v>0</v>
      </c>
      <c r="V87" s="20" t="str">
        <f t="shared" si="6"/>
        <v/>
      </c>
      <c r="W87" s="20">
        <f t="shared" si="7"/>
        <v>0</v>
      </c>
    </row>
    <row r="88" spans="1:23" x14ac:dyDescent="0.2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6"/>
      <c r="O88" s="5"/>
      <c r="P88" s="4" t="s">
        <v>80</v>
      </c>
      <c r="Q88" s="5" t="s">
        <v>103</v>
      </c>
      <c r="R88" s="7">
        <v>5920.6692195404503</v>
      </c>
      <c r="S88" s="7">
        <v>0.95469893349605495</v>
      </c>
      <c r="T88" s="5">
        <v>0</v>
      </c>
      <c r="U88" s="8">
        <v>0</v>
      </c>
      <c r="V88" s="20" t="str">
        <f t="shared" si="6"/>
        <v/>
      </c>
      <c r="W88" s="20">
        <f t="shared" si="7"/>
        <v>0</v>
      </c>
    </row>
    <row r="89" spans="1:23" x14ac:dyDescent="0.2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6"/>
      <c r="O89" s="5"/>
      <c r="P89" s="4" t="s">
        <v>80</v>
      </c>
      <c r="Q89" s="5" t="s">
        <v>104</v>
      </c>
      <c r="R89" s="7">
        <v>6240.5986386718696</v>
      </c>
      <c r="S89" s="7">
        <v>0.95631249249528305</v>
      </c>
      <c r="T89" s="5">
        <v>0</v>
      </c>
      <c r="U89" s="8">
        <v>0</v>
      </c>
      <c r="V89" s="20" t="str">
        <f t="shared" si="6"/>
        <v/>
      </c>
      <c r="W89" s="20">
        <f t="shared" si="7"/>
        <v>0</v>
      </c>
    </row>
    <row r="90" spans="1:23" x14ac:dyDescent="0.2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6"/>
      <c r="O90" s="5"/>
      <c r="P90" s="4" t="s">
        <v>80</v>
      </c>
      <c r="Q90" s="5" t="s">
        <v>105</v>
      </c>
      <c r="R90" s="7">
        <v>5880.8195184852102</v>
      </c>
      <c r="S90" s="5">
        <v>0.94815902544777797</v>
      </c>
      <c r="T90" s="5">
        <v>0</v>
      </c>
      <c r="U90" s="8">
        <v>0</v>
      </c>
      <c r="V90" s="20" t="str">
        <f t="shared" si="6"/>
        <v/>
      </c>
      <c r="W90" s="20">
        <f t="shared" si="7"/>
        <v>0</v>
      </c>
    </row>
    <row r="91" spans="1:23" ht="17" thickBot="1" x14ac:dyDescent="0.2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7"/>
      <c r="O91" s="10"/>
      <c r="P91" s="9" t="s">
        <v>80</v>
      </c>
      <c r="Q91" s="10" t="s">
        <v>106</v>
      </c>
      <c r="R91" s="11">
        <v>5909.2839074102003</v>
      </c>
      <c r="S91" s="10">
        <v>0.946975622791007</v>
      </c>
      <c r="T91" s="10">
        <v>0</v>
      </c>
      <c r="U91" s="12">
        <v>0</v>
      </c>
      <c r="V91" s="20" t="str">
        <f t="shared" si="6"/>
        <v/>
      </c>
      <c r="W91" s="20">
        <f t="shared" si="7"/>
        <v>0</v>
      </c>
    </row>
    <row r="92" spans="1:23" x14ac:dyDescent="0.2">
      <c r="A92" s="4">
        <v>4</v>
      </c>
      <c r="B92" s="5">
        <v>12.13</v>
      </c>
      <c r="C92" s="5" t="s">
        <v>16</v>
      </c>
      <c r="D92" s="5">
        <v>7.34</v>
      </c>
      <c r="E92" s="5">
        <f>(D92/B92)*100</f>
        <v>60.511129431162402</v>
      </c>
      <c r="F92" s="5">
        <v>151</v>
      </c>
      <c r="G92" s="5">
        <v>85</v>
      </c>
      <c r="H92" s="5">
        <v>105</v>
      </c>
      <c r="I92" s="5">
        <f t="shared" ref="I92" si="20">AVERAGE(T92:T101)</f>
        <v>0</v>
      </c>
      <c r="J92" s="5">
        <f t="shared" ref="J92" si="21">AVERAGE(T92:T121)</f>
        <v>8.4396483206738418E-4</v>
      </c>
      <c r="K92" s="5">
        <f t="shared" ref="K92" si="22">AVERAGE(U92:U101)</f>
        <v>0</v>
      </c>
      <c r="L92" s="5">
        <f t="shared" ref="L92" si="23">AVERAGE(U92:U121)</f>
        <v>8.1118949878321355E-4</v>
      </c>
      <c r="M92" s="5">
        <v>100</v>
      </c>
      <c r="N92" s="6">
        <v>0.86250000000000004</v>
      </c>
      <c r="O92" s="5" t="s">
        <v>107</v>
      </c>
      <c r="P92" s="4" t="s">
        <v>107</v>
      </c>
      <c r="Q92" s="5" t="s">
        <v>107</v>
      </c>
      <c r="R92" s="5">
        <v>5939.4122039789199</v>
      </c>
      <c r="S92" s="7">
        <v>0.95598415801157</v>
      </c>
      <c r="T92" s="5">
        <v>0</v>
      </c>
      <c r="U92" s="8">
        <v>0</v>
      </c>
      <c r="V92" s="20" t="str">
        <f t="shared" si="6"/>
        <v/>
      </c>
      <c r="W92" s="20">
        <f t="shared" si="7"/>
        <v>0</v>
      </c>
    </row>
    <row r="93" spans="1:23" x14ac:dyDescent="0.2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O93" s="22"/>
      <c r="P93" s="4" t="s">
        <v>107</v>
      </c>
      <c r="Q93" s="5" t="s">
        <v>109</v>
      </c>
      <c r="R93" s="7">
        <v>5731.0690108277704</v>
      </c>
      <c r="S93" s="7">
        <v>0.95746130117156403</v>
      </c>
      <c r="T93" s="5">
        <v>0</v>
      </c>
      <c r="U93" s="8">
        <v>0</v>
      </c>
      <c r="V93" s="20" t="str">
        <f t="shared" si="6"/>
        <v/>
      </c>
      <c r="W93" s="20">
        <f t="shared" si="7"/>
        <v>0</v>
      </c>
    </row>
    <row r="94" spans="1:23" x14ac:dyDescent="0.2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O94" s="22"/>
      <c r="P94" s="4" t="s">
        <v>107</v>
      </c>
      <c r="Q94" s="5" t="s">
        <v>111</v>
      </c>
      <c r="R94" s="7">
        <v>5954.5143999273596</v>
      </c>
      <c r="S94" s="7">
        <v>0.95163361507935196</v>
      </c>
      <c r="T94" s="5">
        <v>0</v>
      </c>
      <c r="U94" s="8">
        <v>0</v>
      </c>
      <c r="V94" s="20" t="str">
        <f t="shared" si="6"/>
        <v/>
      </c>
      <c r="W94" s="20">
        <f t="shared" si="7"/>
        <v>0</v>
      </c>
    </row>
    <row r="95" spans="1:23" x14ac:dyDescent="0.2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6"/>
      <c r="O95" s="5"/>
      <c r="P95" s="4" t="s">
        <v>107</v>
      </c>
      <c r="Q95" s="5" t="s">
        <v>112</v>
      </c>
      <c r="R95" s="7">
        <v>6481.9991625409602</v>
      </c>
      <c r="S95" s="7">
        <v>0.95312273221259503</v>
      </c>
      <c r="T95" s="5">
        <v>0</v>
      </c>
      <c r="U95" s="8">
        <v>0</v>
      </c>
      <c r="V95" s="20" t="str">
        <f t="shared" si="6"/>
        <v/>
      </c>
      <c r="W95" s="20">
        <f t="shared" si="7"/>
        <v>0</v>
      </c>
    </row>
    <row r="96" spans="1:23" x14ac:dyDescent="0.2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6"/>
      <c r="O96" s="5"/>
      <c r="P96" s="4" t="s">
        <v>107</v>
      </c>
      <c r="Q96" s="5" t="s">
        <v>113</v>
      </c>
      <c r="R96" s="7">
        <v>5431.7705424692904</v>
      </c>
      <c r="S96" s="7">
        <v>0.94140474663891305</v>
      </c>
      <c r="T96" s="5">
        <v>0</v>
      </c>
      <c r="U96" s="8">
        <v>0</v>
      </c>
      <c r="V96" s="20" t="str">
        <f t="shared" si="6"/>
        <v/>
      </c>
      <c r="W96" s="20">
        <f t="shared" si="7"/>
        <v>0</v>
      </c>
    </row>
    <row r="97" spans="1:23" x14ac:dyDescent="0.2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6"/>
      <c r="O97" s="5"/>
      <c r="P97" s="4" t="s">
        <v>107</v>
      </c>
      <c r="Q97" s="5" t="s">
        <v>114</v>
      </c>
      <c r="R97" s="7">
        <v>5812.9190308983398</v>
      </c>
      <c r="S97" s="7">
        <v>0.95694880834275098</v>
      </c>
      <c r="T97" s="5">
        <v>0</v>
      </c>
      <c r="U97" s="8">
        <v>0</v>
      </c>
      <c r="V97" s="20" t="str">
        <f t="shared" si="6"/>
        <v/>
      </c>
      <c r="W97" s="20">
        <f t="shared" si="7"/>
        <v>0</v>
      </c>
    </row>
    <row r="98" spans="1:23" x14ac:dyDescent="0.2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6"/>
      <c r="O98" s="5"/>
      <c r="P98" s="4" t="s">
        <v>107</v>
      </c>
      <c r="Q98" s="5" t="s">
        <v>115</v>
      </c>
      <c r="R98" s="7">
        <v>6027.8126795255903</v>
      </c>
      <c r="S98" s="5">
        <v>0.96241502540698198</v>
      </c>
      <c r="T98" s="5">
        <v>0</v>
      </c>
      <c r="U98" s="8">
        <v>0</v>
      </c>
      <c r="V98" s="20" t="str">
        <f t="shared" si="6"/>
        <v/>
      </c>
      <c r="W98" s="20">
        <f t="shared" si="7"/>
        <v>0</v>
      </c>
    </row>
    <row r="99" spans="1:23" x14ac:dyDescent="0.2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6"/>
      <c r="O99" s="5"/>
      <c r="P99" s="4" t="s">
        <v>107</v>
      </c>
      <c r="Q99" s="5" t="s">
        <v>116</v>
      </c>
      <c r="R99" s="7">
        <v>5987.1396315494403</v>
      </c>
      <c r="S99" s="7">
        <v>0.96330814924969299</v>
      </c>
      <c r="T99" s="5">
        <v>0</v>
      </c>
      <c r="U99" s="8">
        <v>0</v>
      </c>
      <c r="V99" s="20" t="str">
        <f t="shared" si="6"/>
        <v/>
      </c>
      <c r="W99" s="20">
        <f t="shared" si="7"/>
        <v>0</v>
      </c>
    </row>
    <row r="100" spans="1:23" x14ac:dyDescent="0.2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6"/>
      <c r="O100" s="5"/>
      <c r="P100" s="4" t="s">
        <v>107</v>
      </c>
      <c r="Q100" s="5" t="s">
        <v>117</v>
      </c>
      <c r="R100" s="7">
        <v>5964.13857446766</v>
      </c>
      <c r="S100" s="7">
        <v>0.95529770019933402</v>
      </c>
      <c r="T100" s="5">
        <v>0</v>
      </c>
      <c r="U100" s="8">
        <v>0</v>
      </c>
      <c r="V100" s="20" t="str">
        <f t="shared" si="6"/>
        <v/>
      </c>
      <c r="W100" s="20">
        <f t="shared" si="7"/>
        <v>0</v>
      </c>
    </row>
    <row r="101" spans="1:23" ht="17" thickBot="1" x14ac:dyDescent="0.2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6"/>
      <c r="O101" s="5"/>
      <c r="P101" s="9" t="s">
        <v>107</v>
      </c>
      <c r="Q101" s="10" t="s">
        <v>118</v>
      </c>
      <c r="R101" s="11">
        <v>5937.9962628147796</v>
      </c>
      <c r="S101" s="10">
        <v>0.95702531569358995</v>
      </c>
      <c r="T101" s="10">
        <v>0</v>
      </c>
      <c r="U101" s="12">
        <v>0</v>
      </c>
      <c r="V101" s="20" t="str">
        <f t="shared" ref="V101:V164" si="24">IF(AND(U101=0,T101&lt;&gt;0), T101, "")</f>
        <v/>
      </c>
      <c r="W101" s="20">
        <f t="shared" ref="W101:W164" si="25">IF(U101&gt;T101,1,0)</f>
        <v>0</v>
      </c>
    </row>
    <row r="102" spans="1:23" x14ac:dyDescent="0.2">
      <c r="A102" s="4"/>
      <c r="B102" s="5"/>
      <c r="C102" s="5"/>
      <c r="D102" s="5"/>
      <c r="E102" s="5"/>
      <c r="F102" s="5"/>
      <c r="G102" s="5"/>
      <c r="H102" s="5"/>
      <c r="I102" s="5">
        <f t="shared" ref="I102" si="26">AVERAGE(T102:T111)</f>
        <v>2.5122292962316503E-3</v>
      </c>
      <c r="J102" s="5"/>
      <c r="K102" s="5">
        <f t="shared" ref="K102" si="27">AVERAGE(U102:U111)</f>
        <v>2.3868636464196981E-3</v>
      </c>
      <c r="L102" s="5"/>
      <c r="M102" s="5"/>
      <c r="N102" s="6">
        <v>0.86319444444444449</v>
      </c>
      <c r="O102" s="5" t="s">
        <v>108</v>
      </c>
      <c r="P102" s="13" t="s">
        <v>108</v>
      </c>
      <c r="Q102" s="14" t="s">
        <v>108</v>
      </c>
      <c r="R102" s="15">
        <v>5228.8045392403001</v>
      </c>
      <c r="S102" s="15">
        <v>0.94582166814053603</v>
      </c>
      <c r="T102" s="14">
        <v>2.5122292962316502E-2</v>
      </c>
      <c r="U102" s="16">
        <v>2.3352424964971301E-2</v>
      </c>
      <c r="V102" s="20" t="str">
        <f t="shared" si="24"/>
        <v/>
      </c>
      <c r="W102" s="20">
        <f t="shared" si="25"/>
        <v>0</v>
      </c>
    </row>
    <row r="103" spans="1:23" x14ac:dyDescent="0.2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O103" s="22"/>
      <c r="P103" s="4" t="s">
        <v>108</v>
      </c>
      <c r="Q103" s="5" t="s">
        <v>119</v>
      </c>
      <c r="R103" s="7">
        <v>5489.5142526976497</v>
      </c>
      <c r="S103" s="7">
        <v>0.94662015930429799</v>
      </c>
      <c r="T103" s="5">
        <v>0</v>
      </c>
      <c r="U103" s="8">
        <v>0</v>
      </c>
      <c r="V103" s="20" t="str">
        <f t="shared" si="24"/>
        <v/>
      </c>
      <c r="W103" s="20">
        <f t="shared" si="25"/>
        <v>0</v>
      </c>
    </row>
    <row r="104" spans="1:23" x14ac:dyDescent="0.2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6"/>
      <c r="O104" s="5"/>
      <c r="P104" s="4" t="s">
        <v>108</v>
      </c>
      <c r="Q104" s="5" t="s">
        <v>120</v>
      </c>
      <c r="R104" s="7">
        <v>6136.2719145830497</v>
      </c>
      <c r="S104" s="7">
        <v>0.95783399831030902</v>
      </c>
      <c r="T104" s="5">
        <v>0</v>
      </c>
      <c r="U104" s="8">
        <v>0</v>
      </c>
      <c r="V104" s="20" t="str">
        <f t="shared" si="24"/>
        <v/>
      </c>
      <c r="W104" s="20">
        <f t="shared" si="25"/>
        <v>0</v>
      </c>
    </row>
    <row r="105" spans="1:23" x14ac:dyDescent="0.2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6"/>
      <c r="O105" s="5"/>
      <c r="P105" s="4" t="s">
        <v>108</v>
      </c>
      <c r="Q105" s="5" t="s">
        <v>121</v>
      </c>
      <c r="R105" s="7">
        <v>5941.0081740058104</v>
      </c>
      <c r="S105" s="7">
        <v>0.95804466639388597</v>
      </c>
      <c r="T105" s="5">
        <v>0</v>
      </c>
      <c r="U105" s="8">
        <v>0</v>
      </c>
      <c r="V105" s="20" t="str">
        <f t="shared" si="24"/>
        <v/>
      </c>
      <c r="W105" s="20">
        <f t="shared" si="25"/>
        <v>0</v>
      </c>
    </row>
    <row r="106" spans="1:23" x14ac:dyDescent="0.2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6"/>
      <c r="O106" s="5"/>
      <c r="P106" s="4" t="s">
        <v>108</v>
      </c>
      <c r="Q106" s="5" t="s">
        <v>122</v>
      </c>
      <c r="R106" s="7">
        <v>6167.6629936240797</v>
      </c>
      <c r="S106" s="7">
        <v>0.95589253442173405</v>
      </c>
      <c r="T106" s="5">
        <v>0</v>
      </c>
      <c r="U106" s="8">
        <v>0</v>
      </c>
      <c r="V106" s="20" t="str">
        <f t="shared" si="24"/>
        <v/>
      </c>
      <c r="W106" s="20">
        <f t="shared" si="25"/>
        <v>0</v>
      </c>
    </row>
    <row r="107" spans="1:23" x14ac:dyDescent="0.2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6"/>
      <c r="O107" s="5"/>
      <c r="P107" s="4" t="s">
        <v>108</v>
      </c>
      <c r="Q107" s="5" t="s">
        <v>123</v>
      </c>
      <c r="R107" s="7">
        <v>5594.0306459531203</v>
      </c>
      <c r="S107" s="7">
        <v>0.95039465484106</v>
      </c>
      <c r="T107" s="5">
        <v>0</v>
      </c>
      <c r="U107" s="8">
        <v>0</v>
      </c>
      <c r="V107" s="20" t="str">
        <f t="shared" si="24"/>
        <v/>
      </c>
      <c r="W107" s="20">
        <f t="shared" si="25"/>
        <v>0</v>
      </c>
    </row>
    <row r="108" spans="1:23" x14ac:dyDescent="0.2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6"/>
      <c r="O108" s="5"/>
      <c r="P108" s="4" t="s">
        <v>108</v>
      </c>
      <c r="Q108" s="5" t="s">
        <v>124</v>
      </c>
      <c r="R108" s="5">
        <v>5986.5120067673497</v>
      </c>
      <c r="S108" s="5">
        <v>0.96407624648802903</v>
      </c>
      <c r="T108" s="5">
        <v>0</v>
      </c>
      <c r="U108" s="8">
        <v>0</v>
      </c>
      <c r="V108" s="20" t="str">
        <f t="shared" si="24"/>
        <v/>
      </c>
      <c r="W108" s="20">
        <f t="shared" si="25"/>
        <v>0</v>
      </c>
    </row>
    <row r="109" spans="1:23" x14ac:dyDescent="0.2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6"/>
      <c r="O109" s="5"/>
      <c r="P109" s="4" t="s">
        <v>108</v>
      </c>
      <c r="Q109" s="5" t="s">
        <v>125</v>
      </c>
      <c r="R109" s="7">
        <v>5852.8886454168996</v>
      </c>
      <c r="S109" s="7">
        <v>0.95597573326603302</v>
      </c>
      <c r="T109" s="5">
        <v>0</v>
      </c>
      <c r="U109" s="8">
        <v>0</v>
      </c>
      <c r="V109" s="20" t="str">
        <f t="shared" si="24"/>
        <v/>
      </c>
      <c r="W109" s="20">
        <f t="shared" si="25"/>
        <v>0</v>
      </c>
    </row>
    <row r="110" spans="1:23" x14ac:dyDescent="0.2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6"/>
      <c r="O110" s="5"/>
      <c r="P110" s="4" t="s">
        <v>108</v>
      </c>
      <c r="Q110" s="5" t="s">
        <v>126</v>
      </c>
      <c r="R110" s="7">
        <v>6056.7744503090298</v>
      </c>
      <c r="S110" s="7">
        <v>0.95927594016800499</v>
      </c>
      <c r="T110" s="5">
        <v>0</v>
      </c>
      <c r="U110" s="8">
        <v>0</v>
      </c>
      <c r="V110" s="20" t="str">
        <f t="shared" si="24"/>
        <v/>
      </c>
      <c r="W110" s="20">
        <f t="shared" si="25"/>
        <v>0</v>
      </c>
    </row>
    <row r="111" spans="1:23" ht="17" thickBot="1" x14ac:dyDescent="0.2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6"/>
      <c r="O111" s="5"/>
      <c r="P111" s="9" t="s">
        <v>108</v>
      </c>
      <c r="Q111" s="10" t="s">
        <v>127</v>
      </c>
      <c r="R111" s="11">
        <v>5933.1294105333</v>
      </c>
      <c r="S111" s="11">
        <v>0.95583208948379905</v>
      </c>
      <c r="T111" s="10">
        <v>0</v>
      </c>
      <c r="U111" s="12">
        <v>5.1621149922568199E-4</v>
      </c>
      <c r="V111" s="20" t="str">
        <f t="shared" si="24"/>
        <v/>
      </c>
      <c r="W111" s="20">
        <f t="shared" si="25"/>
        <v>1</v>
      </c>
    </row>
    <row r="112" spans="1:23" x14ac:dyDescent="0.2">
      <c r="A112" s="4"/>
      <c r="B112" s="5"/>
      <c r="C112" s="5"/>
      <c r="D112" s="5"/>
      <c r="E112" s="5"/>
      <c r="F112" s="5"/>
      <c r="G112" s="5"/>
      <c r="H112" s="5"/>
      <c r="I112" s="5">
        <f t="shared" ref="I112" si="28">AVERAGE(T112:T121)</f>
        <v>1.9665199970502199E-5</v>
      </c>
      <c r="J112" s="5"/>
      <c r="K112" s="5">
        <f t="shared" ref="K112" si="29">AVERAGE(U112:U121)</f>
        <v>4.6704849929942702E-5</v>
      </c>
      <c r="L112" s="5"/>
      <c r="M112" s="5"/>
      <c r="N112" s="6">
        <v>0.86388888888888893</v>
      </c>
      <c r="O112" s="5" t="s">
        <v>110</v>
      </c>
      <c r="P112" s="13" t="s">
        <v>110</v>
      </c>
      <c r="Q112" s="14" t="s">
        <v>110</v>
      </c>
      <c r="R112" s="15">
        <v>5991.0287270654298</v>
      </c>
      <c r="S112" s="15">
        <v>0.96346332310691396</v>
      </c>
      <c r="T112" s="14">
        <v>0</v>
      </c>
      <c r="U112" s="16">
        <v>0</v>
      </c>
      <c r="V112" s="20" t="str">
        <f t="shared" si="24"/>
        <v/>
      </c>
      <c r="W112" s="20">
        <f t="shared" si="25"/>
        <v>0</v>
      </c>
    </row>
    <row r="113" spans="1:23" x14ac:dyDescent="0.2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6"/>
      <c r="O113" s="5"/>
      <c r="P113" s="4" t="s">
        <v>110</v>
      </c>
      <c r="Q113" s="5" t="s">
        <v>128</v>
      </c>
      <c r="R113" s="7">
        <v>5951.7997934061004</v>
      </c>
      <c r="S113" s="7">
        <v>0.95876809495394799</v>
      </c>
      <c r="T113" s="5">
        <v>0</v>
      </c>
      <c r="U113" s="8">
        <v>0</v>
      </c>
      <c r="V113" s="20" t="str">
        <f t="shared" si="24"/>
        <v/>
      </c>
      <c r="W113" s="20">
        <f t="shared" si="25"/>
        <v>0</v>
      </c>
    </row>
    <row r="114" spans="1:23" x14ac:dyDescent="0.2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6"/>
      <c r="O114" s="5"/>
      <c r="P114" s="4" t="s">
        <v>110</v>
      </c>
      <c r="Q114" s="5" t="s">
        <v>129</v>
      </c>
      <c r="R114" s="7">
        <v>5989.9239397555502</v>
      </c>
      <c r="S114" s="7">
        <v>0.96395821132497705</v>
      </c>
      <c r="T114" s="5">
        <v>0</v>
      </c>
      <c r="U114" s="8">
        <v>0</v>
      </c>
      <c r="V114" s="20" t="str">
        <f t="shared" si="24"/>
        <v/>
      </c>
      <c r="W114" s="20">
        <f t="shared" si="25"/>
        <v>0</v>
      </c>
    </row>
    <row r="115" spans="1:23" x14ac:dyDescent="0.2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6"/>
      <c r="O115" s="5"/>
      <c r="P115" s="4" t="s">
        <v>110</v>
      </c>
      <c r="Q115" s="5" t="s">
        <v>130</v>
      </c>
      <c r="R115" s="7">
        <v>5975.6358758857396</v>
      </c>
      <c r="S115" s="7">
        <v>0.956980209184636</v>
      </c>
      <c r="T115" s="5">
        <v>0</v>
      </c>
      <c r="U115" s="8">
        <v>0</v>
      </c>
      <c r="V115" s="20" t="str">
        <f t="shared" si="24"/>
        <v/>
      </c>
      <c r="W115" s="20">
        <f t="shared" si="25"/>
        <v>0</v>
      </c>
    </row>
    <row r="116" spans="1:23" x14ac:dyDescent="0.2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6"/>
      <c r="O116" s="5"/>
      <c r="P116" s="4" t="s">
        <v>110</v>
      </c>
      <c r="Q116" s="5" t="s">
        <v>131</v>
      </c>
      <c r="R116" s="5">
        <v>5957.5498309627201</v>
      </c>
      <c r="S116" s="5">
        <v>0.96185177322724003</v>
      </c>
      <c r="T116" s="5">
        <v>0</v>
      </c>
      <c r="U116" s="8">
        <v>0</v>
      </c>
      <c r="V116" s="20" t="str">
        <f t="shared" si="24"/>
        <v/>
      </c>
      <c r="W116" s="20">
        <f t="shared" si="25"/>
        <v>0</v>
      </c>
    </row>
    <row r="117" spans="1:23" x14ac:dyDescent="0.2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6"/>
      <c r="O117" s="5"/>
      <c r="P117" s="4" t="s">
        <v>110</v>
      </c>
      <c r="Q117" s="5" t="s">
        <v>132</v>
      </c>
      <c r="R117" s="7">
        <v>5951.8909759759799</v>
      </c>
      <c r="S117" s="7">
        <v>0.956983918291751</v>
      </c>
      <c r="T117" s="5">
        <v>0</v>
      </c>
      <c r="U117" s="8">
        <v>0</v>
      </c>
      <c r="V117" s="20" t="str">
        <f t="shared" si="24"/>
        <v/>
      </c>
      <c r="W117" s="20">
        <f t="shared" si="25"/>
        <v>0</v>
      </c>
    </row>
    <row r="118" spans="1:23" x14ac:dyDescent="0.2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6"/>
      <c r="O118" s="5"/>
      <c r="P118" s="4" t="s">
        <v>110</v>
      </c>
      <c r="Q118" s="5" t="s">
        <v>133</v>
      </c>
      <c r="R118" s="7">
        <v>5710.5881654679597</v>
      </c>
      <c r="S118" s="7">
        <v>0.94886904716774201</v>
      </c>
      <c r="T118" s="5">
        <v>0</v>
      </c>
      <c r="U118" s="8">
        <v>0</v>
      </c>
      <c r="V118" s="20" t="str">
        <f t="shared" si="24"/>
        <v/>
      </c>
      <c r="W118" s="20">
        <f t="shared" si="25"/>
        <v>0</v>
      </c>
    </row>
    <row r="119" spans="1:23" x14ac:dyDescent="0.2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6"/>
      <c r="O119" s="5"/>
      <c r="P119" s="4" t="s">
        <v>110</v>
      </c>
      <c r="Q119" s="5" t="s">
        <v>134</v>
      </c>
      <c r="R119" s="7">
        <v>5910.8337960146</v>
      </c>
      <c r="S119" s="7">
        <v>0.95045675287170805</v>
      </c>
      <c r="T119" s="5">
        <v>0</v>
      </c>
      <c r="U119" s="8">
        <v>0</v>
      </c>
      <c r="V119" s="20" t="str">
        <f t="shared" si="24"/>
        <v/>
      </c>
      <c r="W119" s="20">
        <f t="shared" si="25"/>
        <v>0</v>
      </c>
    </row>
    <row r="120" spans="1:23" x14ac:dyDescent="0.2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6"/>
      <c r="O120" s="5"/>
      <c r="P120" s="4" t="s">
        <v>110</v>
      </c>
      <c r="Q120" s="5" t="s">
        <v>135</v>
      </c>
      <c r="R120" s="7">
        <v>5974.4655050301399</v>
      </c>
      <c r="S120" s="5">
        <v>0.94831739004551496</v>
      </c>
      <c r="T120" s="5">
        <v>0</v>
      </c>
      <c r="U120" s="8">
        <v>0</v>
      </c>
      <c r="V120" s="20" t="str">
        <f t="shared" si="24"/>
        <v/>
      </c>
      <c r="W120" s="20">
        <f t="shared" si="25"/>
        <v>0</v>
      </c>
    </row>
    <row r="121" spans="1:23" ht="17" thickBot="1" x14ac:dyDescent="0.2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7"/>
      <c r="O121" s="10"/>
      <c r="P121" s="9" t="s">
        <v>110</v>
      </c>
      <c r="Q121" s="10" t="s">
        <v>136</v>
      </c>
      <c r="R121" s="11">
        <v>5767.5589511672897</v>
      </c>
      <c r="S121" s="10">
        <v>0.95059311499995702</v>
      </c>
      <c r="T121" s="10">
        <v>1.96651999705022E-4</v>
      </c>
      <c r="U121" s="12">
        <v>4.6704849929942702E-4</v>
      </c>
      <c r="V121" s="20" t="str">
        <f t="shared" si="24"/>
        <v/>
      </c>
      <c r="W121" s="20">
        <f t="shared" si="25"/>
        <v>1</v>
      </c>
    </row>
    <row r="122" spans="1:23" x14ac:dyDescent="0.2">
      <c r="A122" s="4">
        <v>5</v>
      </c>
      <c r="B122" s="5">
        <v>7.02</v>
      </c>
      <c r="C122" s="5" t="s">
        <v>16</v>
      </c>
      <c r="D122" s="5">
        <v>4.24</v>
      </c>
      <c r="E122" s="5">
        <f>(D122/B122)*100</f>
        <v>60.398860398860407</v>
      </c>
      <c r="F122" s="5">
        <v>86</v>
      </c>
      <c r="G122" s="5">
        <v>46</v>
      </c>
      <c r="H122" s="5">
        <v>64</v>
      </c>
      <c r="I122" s="5">
        <f t="shared" ref="I122" si="30">AVERAGE(T122:T131)</f>
        <v>1.47980629778029E-3</v>
      </c>
      <c r="J122" s="5">
        <f t="shared" ref="J122" si="31">AVERAGE(T122:T151)</f>
        <v>1.294625664724726E-3</v>
      </c>
      <c r="K122" s="5">
        <f t="shared" ref="K122" si="32">AVERAGE(U122:U131)</f>
        <v>4.9162999926255502E-4</v>
      </c>
      <c r="L122" s="5">
        <f t="shared" ref="L122" si="33">AVERAGE(U122:U151)</f>
        <v>9.275419319420198E-4</v>
      </c>
      <c r="M122" s="5">
        <v>100</v>
      </c>
      <c r="N122" s="6">
        <v>0.86736111111111114</v>
      </c>
      <c r="O122" s="5" t="s">
        <v>137</v>
      </c>
      <c r="P122" s="4" t="s">
        <v>137</v>
      </c>
      <c r="Q122" s="5" t="s">
        <v>137</v>
      </c>
      <c r="R122" s="5">
        <v>5647.5992833443797</v>
      </c>
      <c r="S122" s="7">
        <v>0.94827212157474206</v>
      </c>
      <c r="T122" s="5">
        <v>0</v>
      </c>
      <c r="U122" s="8">
        <v>0</v>
      </c>
      <c r="V122" s="20" t="str">
        <f t="shared" si="24"/>
        <v/>
      </c>
      <c r="W122" s="20">
        <f t="shared" si="25"/>
        <v>0</v>
      </c>
    </row>
    <row r="123" spans="1:23" x14ac:dyDescent="0.2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O123" s="22"/>
      <c r="P123" s="4" t="s">
        <v>137</v>
      </c>
      <c r="Q123" s="5" t="s">
        <v>139</v>
      </c>
      <c r="R123" s="7">
        <v>5516.8221953370403</v>
      </c>
      <c r="S123" s="7">
        <v>0.94522892999658603</v>
      </c>
      <c r="T123" s="5">
        <v>0</v>
      </c>
      <c r="U123" s="8">
        <v>0</v>
      </c>
      <c r="V123" s="20" t="str">
        <f t="shared" si="24"/>
        <v/>
      </c>
      <c r="W123" s="20">
        <f t="shared" si="25"/>
        <v>0</v>
      </c>
    </row>
    <row r="124" spans="1:23" x14ac:dyDescent="0.2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O124" s="22"/>
      <c r="P124" s="4" t="s">
        <v>137</v>
      </c>
      <c r="Q124" s="5" t="s">
        <v>141</v>
      </c>
      <c r="R124" s="7">
        <v>4782.6828362817196</v>
      </c>
      <c r="S124" s="7">
        <v>0.91226032019352099</v>
      </c>
      <c r="T124" s="5">
        <v>0</v>
      </c>
      <c r="U124" s="8">
        <v>0</v>
      </c>
      <c r="V124" s="20" t="str">
        <f t="shared" si="24"/>
        <v/>
      </c>
      <c r="W124" s="20">
        <f t="shared" si="25"/>
        <v>0</v>
      </c>
    </row>
    <row r="125" spans="1:23" x14ac:dyDescent="0.2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6"/>
      <c r="O125" s="5"/>
      <c r="P125" s="4" t="s">
        <v>137</v>
      </c>
      <c r="Q125" s="5" t="s">
        <v>142</v>
      </c>
      <c r="R125" s="7">
        <v>5964.8490873501896</v>
      </c>
      <c r="S125" s="7">
        <v>0.95062047782215897</v>
      </c>
      <c r="T125" s="5">
        <v>0</v>
      </c>
      <c r="U125" s="8">
        <v>0</v>
      </c>
      <c r="V125" s="20" t="str">
        <f t="shared" si="24"/>
        <v/>
      </c>
      <c r="W125" s="20">
        <f t="shared" si="25"/>
        <v>0</v>
      </c>
    </row>
    <row r="126" spans="1:23" x14ac:dyDescent="0.2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6"/>
      <c r="O126" s="5"/>
      <c r="P126" s="4" t="s">
        <v>137</v>
      </c>
      <c r="Q126" s="5" t="s">
        <v>143</v>
      </c>
      <c r="R126" s="7">
        <v>6467.9435909357198</v>
      </c>
      <c r="S126" s="7">
        <v>0.94922806946205296</v>
      </c>
      <c r="T126" s="5">
        <v>6.2928639905607004E-3</v>
      </c>
      <c r="U126" s="8">
        <v>4.9162999926255502E-3</v>
      </c>
      <c r="V126" s="20" t="str">
        <f t="shared" si="24"/>
        <v/>
      </c>
      <c r="W126" s="20">
        <f t="shared" si="25"/>
        <v>0</v>
      </c>
    </row>
    <row r="127" spans="1:23" x14ac:dyDescent="0.2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6"/>
      <c r="O127" s="5"/>
      <c r="P127" s="4" t="s">
        <v>137</v>
      </c>
      <c r="Q127" s="5" t="s">
        <v>144</v>
      </c>
      <c r="R127" s="7">
        <v>5762.7430307982904</v>
      </c>
      <c r="S127" s="7">
        <v>0.94743507226617096</v>
      </c>
      <c r="T127" s="5">
        <v>0</v>
      </c>
      <c r="U127" s="8">
        <v>0</v>
      </c>
      <c r="V127" s="20" t="str">
        <f t="shared" si="24"/>
        <v/>
      </c>
      <c r="W127" s="20">
        <f t="shared" si="25"/>
        <v>0</v>
      </c>
    </row>
    <row r="128" spans="1:23" x14ac:dyDescent="0.2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6"/>
      <c r="O128" s="5"/>
      <c r="P128" s="4" t="s">
        <v>137</v>
      </c>
      <c r="Q128" s="5" t="s">
        <v>145</v>
      </c>
      <c r="R128" s="7">
        <v>5782.7240834556496</v>
      </c>
      <c r="S128" s="5">
        <v>0.94697708870911201</v>
      </c>
      <c r="T128" s="5">
        <v>0</v>
      </c>
      <c r="U128" s="8">
        <v>0</v>
      </c>
      <c r="V128" s="20" t="str">
        <f t="shared" si="24"/>
        <v/>
      </c>
      <c r="W128" s="20">
        <f t="shared" si="25"/>
        <v>0</v>
      </c>
    </row>
    <row r="129" spans="1:23" x14ac:dyDescent="0.2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6"/>
      <c r="O129" s="5"/>
      <c r="P129" s="4" t="s">
        <v>137</v>
      </c>
      <c r="Q129" s="5" t="s">
        <v>146</v>
      </c>
      <c r="R129" s="7">
        <v>5663.7744456715</v>
      </c>
      <c r="S129" s="7">
        <v>0.94818659118228399</v>
      </c>
      <c r="T129" s="5">
        <v>0</v>
      </c>
      <c r="U129" s="8">
        <v>0</v>
      </c>
      <c r="V129" s="20" t="str">
        <f t="shared" si="24"/>
        <v/>
      </c>
      <c r="W129" s="20">
        <f t="shared" si="25"/>
        <v>0</v>
      </c>
    </row>
    <row r="130" spans="1:23" x14ac:dyDescent="0.2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6"/>
      <c r="O130" s="5"/>
      <c r="P130" s="4" t="s">
        <v>137</v>
      </c>
      <c r="Q130" s="5" t="s">
        <v>147</v>
      </c>
      <c r="R130" s="7">
        <v>6295.05139489459</v>
      </c>
      <c r="S130" s="7">
        <v>0.95457170030768801</v>
      </c>
      <c r="T130" s="5">
        <v>8.5051989872421997E-3</v>
      </c>
      <c r="U130" s="8">
        <v>0</v>
      </c>
      <c r="V130" s="20">
        <f t="shared" si="24"/>
        <v>8.5051989872421997E-3</v>
      </c>
      <c r="W130" s="20">
        <f t="shared" si="25"/>
        <v>0</v>
      </c>
    </row>
    <row r="131" spans="1:23" ht="17" thickBot="1" x14ac:dyDescent="0.2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6"/>
      <c r="O131" s="5"/>
      <c r="P131" s="9" t="s">
        <v>137</v>
      </c>
      <c r="Q131" s="10" t="s">
        <v>148</v>
      </c>
      <c r="R131" s="11">
        <v>5707.8483166562801</v>
      </c>
      <c r="S131" s="10">
        <v>0.95192156517207305</v>
      </c>
      <c r="T131" s="10">
        <v>0</v>
      </c>
      <c r="U131" s="12">
        <v>0</v>
      </c>
      <c r="V131" s="20" t="str">
        <f t="shared" si="24"/>
        <v/>
      </c>
      <c r="W131" s="20">
        <f t="shared" si="25"/>
        <v>0</v>
      </c>
    </row>
    <row r="132" spans="1:23" x14ac:dyDescent="0.2">
      <c r="A132" s="4"/>
      <c r="B132" s="5"/>
      <c r="C132" s="5"/>
      <c r="D132" s="5"/>
      <c r="E132" s="5"/>
      <c r="F132" s="5"/>
      <c r="G132" s="5"/>
      <c r="H132" s="5"/>
      <c r="I132" s="5">
        <f t="shared" ref="I132" si="34">AVERAGE(T132:T141)</f>
        <v>2.4040706963938882E-3</v>
      </c>
      <c r="J132" s="5"/>
      <c r="K132" s="5">
        <f t="shared" ref="K132" si="35">AVERAGE(U132:U141)</f>
        <v>2.2811631965782534E-3</v>
      </c>
      <c r="L132" s="5"/>
      <c r="M132" s="5"/>
      <c r="N132" s="6">
        <v>0.86875000000000002</v>
      </c>
      <c r="O132" s="5" t="s">
        <v>138</v>
      </c>
      <c r="P132" s="13" t="s">
        <v>138</v>
      </c>
      <c r="Q132" s="14" t="s">
        <v>138</v>
      </c>
      <c r="R132" s="15">
        <v>6380.5243628964299</v>
      </c>
      <c r="S132" s="15">
        <v>0.94800514152485005</v>
      </c>
      <c r="T132" s="14">
        <v>0</v>
      </c>
      <c r="U132" s="16">
        <v>0</v>
      </c>
      <c r="V132" s="20" t="str">
        <f t="shared" si="24"/>
        <v/>
      </c>
      <c r="W132" s="20">
        <f t="shared" si="25"/>
        <v>0</v>
      </c>
    </row>
    <row r="133" spans="1:23" x14ac:dyDescent="0.2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O133" s="22"/>
      <c r="P133" s="4" t="s">
        <v>138</v>
      </c>
      <c r="Q133" s="5" t="s">
        <v>149</v>
      </c>
      <c r="R133" s="7">
        <v>6357.4736326014399</v>
      </c>
      <c r="S133" s="7">
        <v>0.94982935158848503</v>
      </c>
      <c r="T133" s="5">
        <v>0</v>
      </c>
      <c r="U133" s="8">
        <v>0</v>
      </c>
      <c r="V133" s="20" t="str">
        <f t="shared" si="24"/>
        <v/>
      </c>
      <c r="W133" s="20">
        <f t="shared" si="25"/>
        <v>0</v>
      </c>
    </row>
    <row r="134" spans="1:23" x14ac:dyDescent="0.2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6"/>
      <c r="O134" s="5"/>
      <c r="P134" s="4" t="s">
        <v>138</v>
      </c>
      <c r="Q134" s="5" t="s">
        <v>150</v>
      </c>
      <c r="R134" s="7">
        <v>5929.5422426327596</v>
      </c>
      <c r="S134" s="7">
        <v>0.95198641940461504</v>
      </c>
      <c r="T134" s="5">
        <v>0</v>
      </c>
      <c r="U134" s="8">
        <v>0</v>
      </c>
      <c r="V134" s="20" t="str">
        <f t="shared" si="24"/>
        <v/>
      </c>
      <c r="W134" s="20">
        <f t="shared" si="25"/>
        <v>0</v>
      </c>
    </row>
    <row r="135" spans="1:23" x14ac:dyDescent="0.2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6"/>
      <c r="O135" s="5"/>
      <c r="P135" s="4" t="s">
        <v>138</v>
      </c>
      <c r="Q135" s="5" t="s">
        <v>151</v>
      </c>
      <c r="R135" s="7">
        <v>5826.4038821815302</v>
      </c>
      <c r="S135" s="7">
        <v>0.94957836846147203</v>
      </c>
      <c r="T135" s="5">
        <v>0</v>
      </c>
      <c r="U135" s="8">
        <v>0</v>
      </c>
      <c r="V135" s="20" t="str">
        <f t="shared" si="24"/>
        <v/>
      </c>
      <c r="W135" s="20">
        <f t="shared" si="25"/>
        <v>0</v>
      </c>
    </row>
    <row r="136" spans="1:23" x14ac:dyDescent="0.2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6"/>
      <c r="O136" s="5"/>
      <c r="P136" s="4" t="s">
        <v>138</v>
      </c>
      <c r="Q136" s="5" t="s">
        <v>152</v>
      </c>
      <c r="R136" s="7">
        <v>5499.0208732828196</v>
      </c>
      <c r="S136" s="7">
        <v>0.947284101279663</v>
      </c>
      <c r="T136" s="5">
        <v>0</v>
      </c>
      <c r="U136" s="8">
        <v>0</v>
      </c>
      <c r="V136" s="20" t="str">
        <f t="shared" si="24"/>
        <v/>
      </c>
      <c r="W136" s="20">
        <f t="shared" si="25"/>
        <v>0</v>
      </c>
    </row>
    <row r="137" spans="1:23" x14ac:dyDescent="0.2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6"/>
      <c r="O137" s="5"/>
      <c r="P137" s="4" t="s">
        <v>138</v>
      </c>
      <c r="Q137" s="5" t="s">
        <v>153</v>
      </c>
      <c r="R137" s="7">
        <v>6770.2387062812204</v>
      </c>
      <c r="S137" s="7">
        <v>0.93983463943537005</v>
      </c>
      <c r="T137" s="5">
        <v>2.1140089968289802E-3</v>
      </c>
      <c r="U137" s="8">
        <v>2.9497799955753302E-4</v>
      </c>
      <c r="V137" s="20" t="str">
        <f t="shared" si="24"/>
        <v/>
      </c>
      <c r="W137" s="20">
        <f t="shared" si="25"/>
        <v>0</v>
      </c>
    </row>
    <row r="138" spans="1:23" x14ac:dyDescent="0.2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6"/>
      <c r="O138" s="5"/>
      <c r="P138" s="4" t="s">
        <v>138</v>
      </c>
      <c r="Q138" s="5" t="s">
        <v>154</v>
      </c>
      <c r="R138" s="5">
        <v>6762.1292965059902</v>
      </c>
      <c r="S138" s="5">
        <v>0.94383090718331597</v>
      </c>
      <c r="T138" s="5">
        <v>0</v>
      </c>
      <c r="U138" s="8">
        <v>0</v>
      </c>
      <c r="V138" s="20" t="str">
        <f t="shared" si="24"/>
        <v/>
      </c>
      <c r="W138" s="20">
        <f t="shared" si="25"/>
        <v>0</v>
      </c>
    </row>
    <row r="139" spans="1:23" x14ac:dyDescent="0.2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6"/>
      <c r="O139" s="5"/>
      <c r="P139" s="4" t="s">
        <v>138</v>
      </c>
      <c r="Q139" s="5" t="s">
        <v>155</v>
      </c>
      <c r="R139" s="7">
        <v>5923.4680645227299</v>
      </c>
      <c r="S139" s="7">
        <v>0.95028894556202304</v>
      </c>
      <c r="T139" s="5">
        <v>0</v>
      </c>
      <c r="U139" s="8">
        <v>0</v>
      </c>
      <c r="V139" s="20" t="str">
        <f t="shared" si="24"/>
        <v/>
      </c>
      <c r="W139" s="20">
        <f t="shared" si="25"/>
        <v>0</v>
      </c>
    </row>
    <row r="140" spans="1:23" x14ac:dyDescent="0.2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6"/>
      <c r="O140" s="5"/>
      <c r="P140" s="4" t="s">
        <v>138</v>
      </c>
      <c r="Q140" s="5" t="s">
        <v>156</v>
      </c>
      <c r="R140" s="7">
        <v>6165.9754584735601</v>
      </c>
      <c r="S140" s="7">
        <v>0.95143020016674396</v>
      </c>
      <c r="T140" s="5">
        <v>2.1926697967109901E-2</v>
      </c>
      <c r="U140" s="8">
        <v>2.2516653966225E-2</v>
      </c>
      <c r="V140" s="20" t="str">
        <f t="shared" si="24"/>
        <v/>
      </c>
      <c r="W140" s="20">
        <f t="shared" si="25"/>
        <v>1</v>
      </c>
    </row>
    <row r="141" spans="1:23" ht="17" thickBot="1" x14ac:dyDescent="0.2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6"/>
      <c r="O141" s="5"/>
      <c r="P141" s="9" t="s">
        <v>138</v>
      </c>
      <c r="Q141" s="10" t="s">
        <v>157</v>
      </c>
      <c r="R141" s="11">
        <v>5555.7395093676696</v>
      </c>
      <c r="S141" s="11">
        <v>0.94431539100999495</v>
      </c>
      <c r="T141" s="10">
        <v>0</v>
      </c>
      <c r="U141" s="12">
        <v>0</v>
      </c>
      <c r="V141" s="20" t="str">
        <f t="shared" si="24"/>
        <v/>
      </c>
      <c r="W141" s="20">
        <f t="shared" si="25"/>
        <v>0</v>
      </c>
    </row>
    <row r="142" spans="1:23" x14ac:dyDescent="0.2">
      <c r="A142" s="4"/>
      <c r="B142" s="5"/>
      <c r="C142" s="5"/>
      <c r="D142" s="5"/>
      <c r="E142" s="5"/>
      <c r="F142" s="5"/>
      <c r="G142" s="5"/>
      <c r="H142" s="5"/>
      <c r="I142" s="5">
        <f t="shared" ref="I142" si="36">AVERAGE(T142:T151)</f>
        <v>0</v>
      </c>
      <c r="J142" s="5"/>
      <c r="K142" s="5">
        <f t="shared" ref="K142" si="37">AVERAGE(U142:U151)</f>
        <v>9.8325999852510995E-6</v>
      </c>
      <c r="L142" s="5"/>
      <c r="M142" s="5"/>
      <c r="N142" s="6">
        <v>0.86944444444444446</v>
      </c>
      <c r="O142" s="5" t="s">
        <v>140</v>
      </c>
      <c r="P142" s="13" t="s">
        <v>140</v>
      </c>
      <c r="Q142" s="14" t="s">
        <v>140</v>
      </c>
      <c r="R142" s="15">
        <v>5716.3770982135802</v>
      </c>
      <c r="S142" s="15">
        <v>0.94659642079204098</v>
      </c>
      <c r="T142" s="14">
        <v>0</v>
      </c>
      <c r="U142" s="16">
        <v>0</v>
      </c>
      <c r="V142" s="20" t="str">
        <f t="shared" si="24"/>
        <v/>
      </c>
      <c r="W142" s="20">
        <f t="shared" si="25"/>
        <v>0</v>
      </c>
    </row>
    <row r="143" spans="1:23" x14ac:dyDescent="0.2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6"/>
      <c r="O143" s="5"/>
      <c r="P143" s="4" t="s">
        <v>140</v>
      </c>
      <c r="Q143" s="5" t="s">
        <v>158</v>
      </c>
      <c r="R143" s="7">
        <v>5724.9086914752797</v>
      </c>
      <c r="S143" s="7">
        <v>0.950237367591934</v>
      </c>
      <c r="T143" s="5">
        <v>0</v>
      </c>
      <c r="U143" s="8">
        <v>0</v>
      </c>
      <c r="V143" s="20" t="str">
        <f t="shared" si="24"/>
        <v/>
      </c>
      <c r="W143" s="20">
        <f t="shared" si="25"/>
        <v>0</v>
      </c>
    </row>
    <row r="144" spans="1:23" x14ac:dyDescent="0.2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6"/>
      <c r="O144" s="5"/>
      <c r="P144" s="4" t="s">
        <v>140</v>
      </c>
      <c r="Q144" s="5" t="s">
        <v>159</v>
      </c>
      <c r="R144" s="7">
        <v>5394.6726067251602</v>
      </c>
      <c r="S144" s="7">
        <v>0.94210936321219996</v>
      </c>
      <c r="T144" s="5">
        <v>0</v>
      </c>
      <c r="U144" s="8">
        <v>0</v>
      </c>
      <c r="V144" s="20" t="str">
        <f t="shared" si="24"/>
        <v/>
      </c>
      <c r="W144" s="20">
        <f t="shared" si="25"/>
        <v>0</v>
      </c>
    </row>
    <row r="145" spans="1:23" x14ac:dyDescent="0.2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6"/>
      <c r="O145" s="5"/>
      <c r="P145" s="4" t="s">
        <v>140</v>
      </c>
      <c r="Q145" s="5" t="s">
        <v>160</v>
      </c>
      <c r="R145" s="7">
        <v>5956.9356769891301</v>
      </c>
      <c r="S145" s="7">
        <v>0.95176491003702302</v>
      </c>
      <c r="T145" s="5">
        <v>0</v>
      </c>
      <c r="U145" s="8">
        <v>9.8325999852510998E-5</v>
      </c>
      <c r="V145" s="20" t="str">
        <f t="shared" si="24"/>
        <v/>
      </c>
      <c r="W145" s="20">
        <f t="shared" si="25"/>
        <v>1</v>
      </c>
    </row>
    <row r="146" spans="1:23" x14ac:dyDescent="0.2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6"/>
      <c r="O146" s="5"/>
      <c r="P146" s="4" t="s">
        <v>140</v>
      </c>
      <c r="Q146" s="5" t="s">
        <v>161</v>
      </c>
      <c r="R146" s="5">
        <v>6389.7164747661</v>
      </c>
      <c r="S146" s="5">
        <v>0.94571543214517595</v>
      </c>
      <c r="T146" s="5">
        <v>0</v>
      </c>
      <c r="U146" s="8">
        <v>0</v>
      </c>
      <c r="V146" s="20" t="str">
        <f t="shared" si="24"/>
        <v/>
      </c>
      <c r="W146" s="20">
        <f t="shared" si="25"/>
        <v>0</v>
      </c>
    </row>
    <row r="147" spans="1:23" x14ac:dyDescent="0.2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6"/>
      <c r="O147" s="5"/>
      <c r="P147" s="4" t="s">
        <v>140</v>
      </c>
      <c r="Q147" s="5" t="s">
        <v>162</v>
      </c>
      <c r="R147" s="7">
        <v>5569.7285419058298</v>
      </c>
      <c r="S147" s="7">
        <v>0.94471189062370198</v>
      </c>
      <c r="T147" s="5">
        <v>0</v>
      </c>
      <c r="U147" s="8">
        <v>0</v>
      </c>
      <c r="V147" s="20" t="str">
        <f t="shared" si="24"/>
        <v/>
      </c>
      <c r="W147" s="20">
        <f t="shared" si="25"/>
        <v>0</v>
      </c>
    </row>
    <row r="148" spans="1:23" x14ac:dyDescent="0.2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6"/>
      <c r="O148" s="5"/>
      <c r="P148" s="4" t="s">
        <v>140</v>
      </c>
      <c r="Q148" s="5" t="s">
        <v>163</v>
      </c>
      <c r="R148" s="7">
        <v>6674.9925739939699</v>
      </c>
      <c r="S148" s="7">
        <v>0.95044122199536396</v>
      </c>
      <c r="T148" s="5">
        <v>0</v>
      </c>
      <c r="U148" s="8">
        <v>0</v>
      </c>
      <c r="V148" s="20" t="str">
        <f t="shared" si="24"/>
        <v/>
      </c>
      <c r="W148" s="20">
        <f t="shared" si="25"/>
        <v>0</v>
      </c>
    </row>
    <row r="149" spans="1:23" x14ac:dyDescent="0.2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6"/>
      <c r="O149" s="5"/>
      <c r="P149" s="4" t="s">
        <v>140</v>
      </c>
      <c r="Q149" s="5" t="s">
        <v>164</v>
      </c>
      <c r="R149" s="7">
        <v>6611.8836560740001</v>
      </c>
      <c r="S149" s="7">
        <v>0.94286868280164604</v>
      </c>
      <c r="T149" s="5">
        <v>0</v>
      </c>
      <c r="U149" s="8">
        <v>0</v>
      </c>
      <c r="V149" s="20" t="str">
        <f t="shared" si="24"/>
        <v/>
      </c>
      <c r="W149" s="20">
        <f t="shared" si="25"/>
        <v>0</v>
      </c>
    </row>
    <row r="150" spans="1:23" x14ac:dyDescent="0.2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6"/>
      <c r="O150" s="5"/>
      <c r="P150" s="4" t="s">
        <v>140</v>
      </c>
      <c r="Q150" s="5" t="s">
        <v>165</v>
      </c>
      <c r="R150" s="7">
        <v>5216.4729627696997</v>
      </c>
      <c r="S150" s="5">
        <v>0.94101444180946203</v>
      </c>
      <c r="T150" s="5">
        <v>0</v>
      </c>
      <c r="U150" s="8">
        <v>0</v>
      </c>
      <c r="V150" s="20" t="str">
        <f t="shared" si="24"/>
        <v/>
      </c>
      <c r="W150" s="20">
        <f t="shared" si="25"/>
        <v>0</v>
      </c>
    </row>
    <row r="151" spans="1:23" ht="17" thickBot="1" x14ac:dyDescent="0.2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7"/>
      <c r="O151" s="10"/>
      <c r="P151" s="9" t="s">
        <v>140</v>
      </c>
      <c r="Q151" s="10" t="s">
        <v>166</v>
      </c>
      <c r="R151" s="11">
        <v>5794.1482734578403</v>
      </c>
      <c r="S151" s="10">
        <v>0.95427302957015703</v>
      </c>
      <c r="T151" s="10">
        <v>0</v>
      </c>
      <c r="U151" s="12">
        <v>0</v>
      </c>
      <c r="V151" s="20" t="str">
        <f t="shared" si="24"/>
        <v/>
      </c>
      <c r="W151" s="20">
        <f t="shared" si="25"/>
        <v>0</v>
      </c>
    </row>
    <row r="152" spans="1:23" x14ac:dyDescent="0.2">
      <c r="A152" s="4">
        <v>6</v>
      </c>
      <c r="B152" s="5">
        <v>2.0699999999999998</v>
      </c>
      <c r="C152" s="5" t="s">
        <v>16</v>
      </c>
      <c r="D152" s="5">
        <v>1.25</v>
      </c>
      <c r="E152" s="5">
        <f>(D152/B152)*100</f>
        <v>60.386473429951693</v>
      </c>
      <c r="F152" s="5">
        <v>24</v>
      </c>
      <c r="G152" s="5">
        <v>4</v>
      </c>
      <c r="H152" s="5">
        <v>19</v>
      </c>
      <c r="I152" s="5">
        <f t="shared" ref="I152" si="38">AVERAGE(T152:T161)</f>
        <v>0</v>
      </c>
      <c r="J152" s="5">
        <f t="shared" ref="J152" si="39">AVERAGE(T152:T181)</f>
        <v>4.0969166605212671E-4</v>
      </c>
      <c r="K152" s="5">
        <f t="shared" ref="K152" si="40">AVERAGE(U152:U161)</f>
        <v>6.3911899904132093E-5</v>
      </c>
      <c r="L152" s="5">
        <f t="shared" ref="L152" si="41">AVERAGE(U152:U181)</f>
        <v>4.2444056603000406E-4</v>
      </c>
      <c r="M152" s="5">
        <v>100</v>
      </c>
      <c r="N152" s="6">
        <v>0.87291666666666667</v>
      </c>
      <c r="O152" s="5" t="s">
        <v>167</v>
      </c>
      <c r="P152" s="4" t="s">
        <v>167</v>
      </c>
      <c r="Q152" s="5" t="s">
        <v>167</v>
      </c>
      <c r="R152" s="5">
        <v>5770.9538714237897</v>
      </c>
      <c r="S152" s="7">
        <v>0.94524815934386797</v>
      </c>
      <c r="T152" s="5">
        <v>0</v>
      </c>
      <c r="U152" s="8">
        <v>0</v>
      </c>
      <c r="V152" s="20" t="str">
        <f t="shared" si="24"/>
        <v/>
      </c>
      <c r="W152" s="20">
        <f t="shared" si="25"/>
        <v>0</v>
      </c>
    </row>
    <row r="153" spans="1:23" x14ac:dyDescent="0.2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O153" s="22"/>
      <c r="P153" s="4" t="s">
        <v>167</v>
      </c>
      <c r="Q153" s="5" t="s">
        <v>169</v>
      </c>
      <c r="R153" s="7">
        <v>5666.2569434604802</v>
      </c>
      <c r="S153" s="7">
        <v>0.94874145022155398</v>
      </c>
      <c r="T153" s="5">
        <v>0</v>
      </c>
      <c r="U153" s="8">
        <v>0</v>
      </c>
      <c r="V153" s="20" t="str">
        <f t="shared" si="24"/>
        <v/>
      </c>
      <c r="W153" s="20">
        <f t="shared" si="25"/>
        <v>0</v>
      </c>
    </row>
    <row r="154" spans="1:23" x14ac:dyDescent="0.2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O154" s="22"/>
      <c r="P154" s="4" t="s">
        <v>167</v>
      </c>
      <c r="Q154" s="5" t="s">
        <v>171</v>
      </c>
      <c r="R154" s="7">
        <v>5729.5491110293897</v>
      </c>
      <c r="S154" s="7">
        <v>0.94438617341523401</v>
      </c>
      <c r="T154" s="5">
        <v>0</v>
      </c>
      <c r="U154" s="8">
        <v>0</v>
      </c>
      <c r="V154" s="20" t="str">
        <f t="shared" si="24"/>
        <v/>
      </c>
      <c r="W154" s="20">
        <f t="shared" si="25"/>
        <v>0</v>
      </c>
    </row>
    <row r="155" spans="1:23" x14ac:dyDescent="0.2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O155" s="5"/>
      <c r="P155" s="4" t="s">
        <v>167</v>
      </c>
      <c r="Q155" s="5" t="s">
        <v>172</v>
      </c>
      <c r="R155" s="7">
        <v>5760.3237071266103</v>
      </c>
      <c r="S155" s="7">
        <v>0.94762487346708202</v>
      </c>
      <c r="T155" s="5">
        <v>0</v>
      </c>
      <c r="U155" s="8">
        <v>0</v>
      </c>
      <c r="V155" s="20" t="str">
        <f t="shared" si="24"/>
        <v/>
      </c>
      <c r="W155" s="20">
        <f t="shared" si="25"/>
        <v>0</v>
      </c>
    </row>
    <row r="156" spans="1:23" x14ac:dyDescent="0.2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6"/>
      <c r="O156" s="5"/>
      <c r="P156" s="4" t="s">
        <v>167</v>
      </c>
      <c r="Q156" s="5" t="s">
        <v>173</v>
      </c>
      <c r="R156" s="7">
        <v>5759.4127157374396</v>
      </c>
      <c r="S156" s="7">
        <v>0.949145290937916</v>
      </c>
      <c r="T156" s="5">
        <v>0</v>
      </c>
      <c r="U156" s="8">
        <v>0</v>
      </c>
      <c r="V156" s="20" t="str">
        <f t="shared" si="24"/>
        <v/>
      </c>
      <c r="W156" s="20">
        <f t="shared" si="25"/>
        <v>0</v>
      </c>
    </row>
    <row r="157" spans="1:23" x14ac:dyDescent="0.2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6"/>
      <c r="O157" s="5"/>
      <c r="P157" s="4" t="s">
        <v>167</v>
      </c>
      <c r="Q157" s="5" t="s">
        <v>174</v>
      </c>
      <c r="R157" s="7">
        <v>5641.8554244362304</v>
      </c>
      <c r="S157" s="7">
        <v>0.94560875410693701</v>
      </c>
      <c r="T157" s="5">
        <v>0</v>
      </c>
      <c r="U157" s="8">
        <v>0</v>
      </c>
      <c r="V157" s="20" t="str">
        <f t="shared" si="24"/>
        <v/>
      </c>
      <c r="W157" s="20">
        <f t="shared" si="25"/>
        <v>0</v>
      </c>
    </row>
    <row r="158" spans="1:23" x14ac:dyDescent="0.2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6"/>
      <c r="O158" s="5"/>
      <c r="P158" s="4" t="s">
        <v>167</v>
      </c>
      <c r="Q158" s="5" t="s">
        <v>175</v>
      </c>
      <c r="R158" s="7">
        <v>5866.7985430241997</v>
      </c>
      <c r="S158" s="5">
        <v>0.94951715866431097</v>
      </c>
      <c r="T158" s="5">
        <v>0</v>
      </c>
      <c r="U158" s="8">
        <v>0</v>
      </c>
      <c r="V158" s="20" t="str">
        <f t="shared" si="24"/>
        <v/>
      </c>
      <c r="W158" s="20">
        <f t="shared" si="25"/>
        <v>0</v>
      </c>
    </row>
    <row r="159" spans="1:23" x14ac:dyDescent="0.2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6"/>
      <c r="O159" s="5"/>
      <c r="P159" s="4" t="s">
        <v>167</v>
      </c>
      <c r="Q159" s="5" t="s">
        <v>176</v>
      </c>
      <c r="R159" s="7">
        <v>5443.5051739773198</v>
      </c>
      <c r="S159" s="7">
        <v>0.93904265186272096</v>
      </c>
      <c r="T159" s="5">
        <v>0</v>
      </c>
      <c r="U159" s="8">
        <v>6.3911899904132096E-4</v>
      </c>
      <c r="V159" s="20" t="str">
        <f t="shared" si="24"/>
        <v/>
      </c>
      <c r="W159" s="20">
        <f t="shared" si="25"/>
        <v>1</v>
      </c>
    </row>
    <row r="160" spans="1:23" x14ac:dyDescent="0.2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6"/>
      <c r="O160" s="5"/>
      <c r="P160" s="4" t="s">
        <v>167</v>
      </c>
      <c r="Q160" s="5" t="s">
        <v>177</v>
      </c>
      <c r="R160" s="7">
        <v>6082.3339238728704</v>
      </c>
      <c r="S160" s="7">
        <v>0.94344720346146504</v>
      </c>
      <c r="T160" s="5">
        <v>0</v>
      </c>
      <c r="U160" s="8">
        <v>0</v>
      </c>
      <c r="V160" s="20" t="str">
        <f t="shared" si="24"/>
        <v/>
      </c>
      <c r="W160" s="20">
        <f t="shared" si="25"/>
        <v>0</v>
      </c>
    </row>
    <row r="161" spans="1:23" ht="17" thickBot="1" x14ac:dyDescent="0.2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6"/>
      <c r="O161" s="5"/>
      <c r="P161" s="9" t="s">
        <v>167</v>
      </c>
      <c r="Q161" s="10" t="s">
        <v>178</v>
      </c>
      <c r="R161" s="11">
        <v>5662.2821223639303</v>
      </c>
      <c r="S161" s="10">
        <v>0.94141473090055505</v>
      </c>
      <c r="T161" s="10">
        <v>0</v>
      </c>
      <c r="U161" s="12">
        <v>0</v>
      </c>
      <c r="V161" s="20" t="str">
        <f t="shared" si="24"/>
        <v/>
      </c>
      <c r="W161" s="20">
        <f t="shared" si="25"/>
        <v>0</v>
      </c>
    </row>
    <row r="162" spans="1:23" x14ac:dyDescent="0.2">
      <c r="A162" s="4"/>
      <c r="B162" s="5"/>
      <c r="C162" s="5"/>
      <c r="D162" s="5"/>
      <c r="E162" s="5"/>
      <c r="F162" s="5"/>
      <c r="G162" s="5"/>
      <c r="H162" s="5"/>
      <c r="I162" s="5">
        <f t="shared" ref="I162" si="42">AVERAGE(T162:T171)</f>
        <v>1.2290749981563802E-3</v>
      </c>
      <c r="J162" s="5"/>
      <c r="K162" s="5">
        <f t="shared" ref="K162" si="43">AVERAGE(U162:U171)</f>
        <v>1.2094097981858801E-3</v>
      </c>
      <c r="L162" s="5"/>
      <c r="M162" s="5"/>
      <c r="N162" s="6">
        <v>0.87361111111111112</v>
      </c>
      <c r="O162" s="5" t="s">
        <v>168</v>
      </c>
      <c r="P162" s="13" t="s">
        <v>168</v>
      </c>
      <c r="Q162" s="14" t="s">
        <v>168</v>
      </c>
      <c r="R162" s="15">
        <v>5692.8525576463298</v>
      </c>
      <c r="S162" s="15">
        <v>0.94207077618782897</v>
      </c>
      <c r="T162" s="14">
        <v>0</v>
      </c>
      <c r="U162" s="16">
        <v>0</v>
      </c>
      <c r="V162" s="20" t="str">
        <f t="shared" si="24"/>
        <v/>
      </c>
      <c r="W162" s="20">
        <f t="shared" si="25"/>
        <v>0</v>
      </c>
    </row>
    <row r="163" spans="1:23" x14ac:dyDescent="0.2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O163" s="22"/>
      <c r="P163" s="4" t="s">
        <v>168</v>
      </c>
      <c r="Q163" s="5" t="s">
        <v>179</v>
      </c>
      <c r="R163" s="7">
        <v>5916.7438297442104</v>
      </c>
      <c r="S163" s="7">
        <v>0.94363302109334501</v>
      </c>
      <c r="T163" s="5">
        <v>1.2290749981563801E-2</v>
      </c>
      <c r="U163" s="8">
        <v>1.2094097981858801E-2</v>
      </c>
      <c r="V163" s="20" t="str">
        <f t="shared" si="24"/>
        <v/>
      </c>
      <c r="W163" s="20">
        <f t="shared" si="25"/>
        <v>0</v>
      </c>
    </row>
    <row r="164" spans="1:23" x14ac:dyDescent="0.2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6"/>
      <c r="O164" s="5"/>
      <c r="P164" s="4" t="s">
        <v>168</v>
      </c>
      <c r="Q164" s="5" t="s">
        <v>180</v>
      </c>
      <c r="R164" s="7">
        <v>5889.4131061937296</v>
      </c>
      <c r="S164" s="7">
        <v>0.94494098223811995</v>
      </c>
      <c r="T164" s="5">
        <v>0</v>
      </c>
      <c r="U164" s="8">
        <v>0</v>
      </c>
      <c r="V164" s="20" t="str">
        <f t="shared" si="24"/>
        <v/>
      </c>
      <c r="W164" s="20">
        <f t="shared" si="25"/>
        <v>0</v>
      </c>
    </row>
    <row r="165" spans="1:23" x14ac:dyDescent="0.2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6"/>
      <c r="O165" s="5"/>
      <c r="P165" s="4" t="s">
        <v>168</v>
      </c>
      <c r="Q165" s="5" t="s">
        <v>181</v>
      </c>
      <c r="R165" s="7">
        <v>5601.9046584605003</v>
      </c>
      <c r="S165" s="7">
        <v>0.92621247948124796</v>
      </c>
      <c r="T165" s="5">
        <v>0</v>
      </c>
      <c r="U165" s="8">
        <v>0</v>
      </c>
      <c r="V165" s="20" t="str">
        <f t="shared" ref="V165:V228" si="44">IF(AND(U165=0,T165&lt;&gt;0), T165, "")</f>
        <v/>
      </c>
      <c r="W165" s="20">
        <f t="shared" ref="W165:W228" si="45">IF(U165&gt;T165,1,0)</f>
        <v>0</v>
      </c>
    </row>
    <row r="166" spans="1:23" x14ac:dyDescent="0.2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6"/>
      <c r="O166" s="5"/>
      <c r="P166" s="4" t="s">
        <v>168</v>
      </c>
      <c r="Q166" s="5" t="s">
        <v>182</v>
      </c>
      <c r="R166" s="7">
        <v>5703.9611492117501</v>
      </c>
      <c r="S166" s="7">
        <v>0.94915666470058302</v>
      </c>
      <c r="T166" s="5">
        <v>0</v>
      </c>
      <c r="U166" s="8">
        <v>0</v>
      </c>
      <c r="V166" s="20" t="str">
        <f t="shared" si="44"/>
        <v/>
      </c>
      <c r="W166" s="20">
        <f t="shared" si="45"/>
        <v>0</v>
      </c>
    </row>
    <row r="167" spans="1:23" x14ac:dyDescent="0.2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6"/>
      <c r="O167" s="5"/>
      <c r="P167" s="4" t="s">
        <v>168</v>
      </c>
      <c r="Q167" s="5" t="s">
        <v>183</v>
      </c>
      <c r="R167" s="7">
        <v>5956.4239710921602</v>
      </c>
      <c r="S167" s="7">
        <v>0.94813974211052598</v>
      </c>
      <c r="T167" s="5">
        <v>0</v>
      </c>
      <c r="U167" s="8">
        <v>0</v>
      </c>
      <c r="V167" s="20" t="str">
        <f t="shared" si="44"/>
        <v/>
      </c>
      <c r="W167" s="20">
        <f t="shared" si="45"/>
        <v>0</v>
      </c>
    </row>
    <row r="168" spans="1:23" x14ac:dyDescent="0.2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6"/>
      <c r="O168" s="5"/>
      <c r="P168" s="4" t="s">
        <v>168</v>
      </c>
      <c r="Q168" s="5" t="s">
        <v>184</v>
      </c>
      <c r="R168" s="5">
        <v>5986.3012867337902</v>
      </c>
      <c r="S168" s="5">
        <v>0.94594894363674598</v>
      </c>
      <c r="T168" s="5">
        <v>0</v>
      </c>
      <c r="U168" s="8">
        <v>0</v>
      </c>
      <c r="V168" s="20" t="str">
        <f t="shared" si="44"/>
        <v/>
      </c>
      <c r="W168" s="20">
        <f t="shared" si="45"/>
        <v>0</v>
      </c>
    </row>
    <row r="169" spans="1:23" x14ac:dyDescent="0.2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6"/>
      <c r="O169" s="5"/>
      <c r="P169" s="4" t="s">
        <v>168</v>
      </c>
      <c r="Q169" s="5" t="s">
        <v>185</v>
      </c>
      <c r="R169" s="7">
        <v>5354.0015211506998</v>
      </c>
      <c r="S169" s="7">
        <v>0.93130307801674495</v>
      </c>
      <c r="T169" s="5">
        <v>0</v>
      </c>
      <c r="U169" s="8">
        <v>0</v>
      </c>
      <c r="V169" s="20" t="str">
        <f t="shared" si="44"/>
        <v/>
      </c>
      <c r="W169" s="20">
        <f t="shared" si="45"/>
        <v>0</v>
      </c>
    </row>
    <row r="170" spans="1:23" x14ac:dyDescent="0.2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6"/>
      <c r="O170" s="5"/>
      <c r="P170" s="4" t="s">
        <v>168</v>
      </c>
      <c r="Q170" s="5" t="s">
        <v>186</v>
      </c>
      <c r="R170" s="7">
        <v>5899.3582741488999</v>
      </c>
      <c r="S170" s="7">
        <v>0.94615172211017395</v>
      </c>
      <c r="T170" s="5">
        <v>0</v>
      </c>
      <c r="U170" s="8">
        <v>0</v>
      </c>
      <c r="V170" s="20" t="str">
        <f t="shared" si="44"/>
        <v/>
      </c>
      <c r="W170" s="20">
        <f t="shared" si="45"/>
        <v>0</v>
      </c>
    </row>
    <row r="171" spans="1:23" ht="17" thickBot="1" x14ac:dyDescent="0.2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6"/>
      <c r="O171" s="5"/>
      <c r="P171" s="9" t="s">
        <v>168</v>
      </c>
      <c r="Q171" s="10" t="s">
        <v>187</v>
      </c>
      <c r="R171" s="11">
        <v>5711.6903033860299</v>
      </c>
      <c r="S171" s="11">
        <v>0.94405553344375104</v>
      </c>
      <c r="T171" s="10">
        <v>0</v>
      </c>
      <c r="U171" s="12">
        <v>0</v>
      </c>
      <c r="V171" s="20" t="str">
        <f t="shared" si="44"/>
        <v/>
      </c>
      <c r="W171" s="20">
        <f t="shared" si="45"/>
        <v>0</v>
      </c>
    </row>
    <row r="172" spans="1:23" x14ac:dyDescent="0.2">
      <c r="A172" s="4"/>
      <c r="B172" s="5"/>
      <c r="C172" s="5"/>
      <c r="D172" s="5"/>
      <c r="E172" s="5"/>
      <c r="F172" s="5"/>
      <c r="G172" s="5"/>
      <c r="H172" s="5"/>
      <c r="I172" s="5">
        <f t="shared" ref="I172" si="46">AVERAGE(T172:T181)</f>
        <v>0</v>
      </c>
      <c r="J172" s="5"/>
      <c r="K172" s="5">
        <f t="shared" ref="K172" si="47">AVERAGE(U172:U181)</f>
        <v>0</v>
      </c>
      <c r="L172" s="5"/>
      <c r="M172" s="5"/>
      <c r="N172" s="6">
        <v>0.87430555555555556</v>
      </c>
      <c r="O172" s="5" t="s">
        <v>170</v>
      </c>
      <c r="P172" s="13" t="s">
        <v>170</v>
      </c>
      <c r="Q172" s="14" t="s">
        <v>170</v>
      </c>
      <c r="R172" s="15">
        <v>5856.0975437642601</v>
      </c>
      <c r="S172" s="15">
        <v>0.94421679259270797</v>
      </c>
      <c r="T172" s="14">
        <v>0</v>
      </c>
      <c r="U172" s="16">
        <v>0</v>
      </c>
      <c r="V172" s="20" t="str">
        <f t="shared" si="44"/>
        <v/>
      </c>
      <c r="W172" s="20">
        <f t="shared" si="45"/>
        <v>0</v>
      </c>
    </row>
    <row r="173" spans="1:23" x14ac:dyDescent="0.2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6"/>
      <c r="O173" s="5"/>
      <c r="P173" s="4" t="s">
        <v>170</v>
      </c>
      <c r="Q173" s="5" t="s">
        <v>188</v>
      </c>
      <c r="R173" s="7">
        <v>5867.2188248864204</v>
      </c>
      <c r="S173" s="7">
        <v>0.94426094076656997</v>
      </c>
      <c r="T173" s="5">
        <v>0</v>
      </c>
      <c r="U173" s="8">
        <v>0</v>
      </c>
      <c r="V173" s="20" t="str">
        <f t="shared" si="44"/>
        <v/>
      </c>
      <c r="W173" s="20">
        <f t="shared" si="45"/>
        <v>0</v>
      </c>
    </row>
    <row r="174" spans="1:23" x14ac:dyDescent="0.2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6"/>
      <c r="O174" s="5"/>
      <c r="P174" s="4" t="s">
        <v>170</v>
      </c>
      <c r="Q174" s="5" t="s">
        <v>189</v>
      </c>
      <c r="R174" s="7">
        <v>6090.3056785917097</v>
      </c>
      <c r="S174" s="7">
        <v>0.94807651886482902</v>
      </c>
      <c r="T174" s="5">
        <v>0</v>
      </c>
      <c r="U174" s="8">
        <v>0</v>
      </c>
      <c r="V174" s="20" t="str">
        <f t="shared" si="44"/>
        <v/>
      </c>
      <c r="W174" s="20">
        <f t="shared" si="45"/>
        <v>0</v>
      </c>
    </row>
    <row r="175" spans="1:23" x14ac:dyDescent="0.2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6"/>
      <c r="O175" s="5"/>
      <c r="P175" s="4" t="s">
        <v>170</v>
      </c>
      <c r="Q175" s="5" t="s">
        <v>190</v>
      </c>
      <c r="R175" s="7">
        <v>6006.7619115275702</v>
      </c>
      <c r="S175" s="7">
        <v>0.94573030072724196</v>
      </c>
      <c r="T175" s="5">
        <v>0</v>
      </c>
      <c r="U175" s="8">
        <v>0</v>
      </c>
      <c r="V175" s="20" t="str">
        <f t="shared" si="44"/>
        <v/>
      </c>
      <c r="W175" s="20">
        <f t="shared" si="45"/>
        <v>0</v>
      </c>
    </row>
    <row r="176" spans="1:23" x14ac:dyDescent="0.2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6"/>
      <c r="O176" s="5"/>
      <c r="P176" s="4" t="s">
        <v>170</v>
      </c>
      <c r="Q176" s="5" t="s">
        <v>191</v>
      </c>
      <c r="R176" s="5">
        <v>6066.3932841305495</v>
      </c>
      <c r="S176" s="5">
        <v>0.94464800668414695</v>
      </c>
      <c r="T176" s="5">
        <v>0</v>
      </c>
      <c r="U176" s="8">
        <v>0</v>
      </c>
      <c r="V176" s="20" t="str">
        <f t="shared" si="44"/>
        <v/>
      </c>
      <c r="W176" s="20">
        <f t="shared" si="45"/>
        <v>0</v>
      </c>
    </row>
    <row r="177" spans="1:23" x14ac:dyDescent="0.2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6"/>
      <c r="O177" s="5"/>
      <c r="P177" s="4" t="s">
        <v>170</v>
      </c>
      <c r="Q177" s="5" t="s">
        <v>192</v>
      </c>
      <c r="R177" s="7">
        <v>6138.5506131833099</v>
      </c>
      <c r="S177" s="7">
        <v>0.95112820648027696</v>
      </c>
      <c r="T177" s="5">
        <v>0</v>
      </c>
      <c r="U177" s="8">
        <v>0</v>
      </c>
      <c r="V177" s="20" t="str">
        <f t="shared" si="44"/>
        <v/>
      </c>
      <c r="W177" s="20">
        <f t="shared" si="45"/>
        <v>0</v>
      </c>
    </row>
    <row r="178" spans="1:23" x14ac:dyDescent="0.2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6"/>
      <c r="O178" s="5"/>
      <c r="P178" s="4" t="s">
        <v>170</v>
      </c>
      <c r="Q178" s="5" t="s">
        <v>193</v>
      </c>
      <c r="R178" s="7">
        <v>5679.5296396348303</v>
      </c>
      <c r="S178" s="7">
        <v>0.94696575772055502</v>
      </c>
      <c r="T178" s="5">
        <v>0</v>
      </c>
      <c r="U178" s="8">
        <v>0</v>
      </c>
      <c r="V178" s="20" t="str">
        <f t="shared" si="44"/>
        <v/>
      </c>
      <c r="W178" s="20">
        <f t="shared" si="45"/>
        <v>0</v>
      </c>
    </row>
    <row r="179" spans="1:23" x14ac:dyDescent="0.2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6"/>
      <c r="O179" s="5"/>
      <c r="P179" s="4" t="s">
        <v>170</v>
      </c>
      <c r="Q179" s="5" t="s">
        <v>194</v>
      </c>
      <c r="R179" s="7">
        <v>6058.8452690890499</v>
      </c>
      <c r="S179" s="7">
        <v>0.94497180846449103</v>
      </c>
      <c r="T179" s="5">
        <v>0</v>
      </c>
      <c r="U179" s="8">
        <v>0</v>
      </c>
      <c r="V179" s="20" t="str">
        <f t="shared" si="44"/>
        <v/>
      </c>
      <c r="W179" s="20">
        <f t="shared" si="45"/>
        <v>0</v>
      </c>
    </row>
    <row r="180" spans="1:23" x14ac:dyDescent="0.2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6"/>
      <c r="O180" s="5"/>
      <c r="P180" s="4" t="s">
        <v>170</v>
      </c>
      <c r="Q180" s="5" t="s">
        <v>195</v>
      </c>
      <c r="R180" s="7">
        <v>6355.20405573474</v>
      </c>
      <c r="S180" s="5">
        <v>0.95053750674581095</v>
      </c>
      <c r="T180" s="5">
        <v>0</v>
      </c>
      <c r="U180" s="8">
        <v>0</v>
      </c>
      <c r="V180" s="20" t="str">
        <f t="shared" si="44"/>
        <v/>
      </c>
      <c r="W180" s="20">
        <f t="shared" si="45"/>
        <v>0</v>
      </c>
    </row>
    <row r="181" spans="1:23" ht="17" thickBot="1" x14ac:dyDescent="0.25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7"/>
      <c r="O181" s="10"/>
      <c r="P181" s="9" t="s">
        <v>170</v>
      </c>
      <c r="Q181" s="10" t="s">
        <v>196</v>
      </c>
      <c r="R181" s="11">
        <v>6274.6640021745898</v>
      </c>
      <c r="S181" s="10">
        <v>0.94686902385471405</v>
      </c>
      <c r="T181" s="10">
        <v>0</v>
      </c>
      <c r="U181" s="12">
        <v>0</v>
      </c>
      <c r="V181" s="20" t="str">
        <f t="shared" si="44"/>
        <v/>
      </c>
      <c r="W181" s="20">
        <f t="shared" si="45"/>
        <v>0</v>
      </c>
    </row>
    <row r="182" spans="1:23" x14ac:dyDescent="0.2">
      <c r="A182" s="4">
        <v>7</v>
      </c>
      <c r="B182" s="5">
        <v>1.05</v>
      </c>
      <c r="C182" s="5" t="s">
        <v>16</v>
      </c>
      <c r="D182" s="5">
        <v>0.62</v>
      </c>
      <c r="E182" s="5">
        <f>(D182/B182)*100</f>
        <v>59.047619047619051</v>
      </c>
      <c r="F182" s="5">
        <v>11</v>
      </c>
      <c r="G182" s="5">
        <v>0.02</v>
      </c>
      <c r="H182" s="5">
        <v>9.3000000000000007</v>
      </c>
      <c r="I182" s="5">
        <f t="shared" ref="I182" si="48">AVERAGE(T182:T191)</f>
        <v>4.9671836975492198E-2</v>
      </c>
      <c r="J182" s="5">
        <f t="shared" ref="J182" si="49">AVERAGE(T182:T211)</f>
        <v>1.7120195340986355E-2</v>
      </c>
      <c r="K182" s="5">
        <f t="shared" ref="K182" si="50">AVERAGE(U182:U191)</f>
        <v>4.9595634325606527E-2</v>
      </c>
      <c r="L182" s="5">
        <f t="shared" ref="L182" si="51">AVERAGE(U182:U211)</f>
        <v>1.6576944191801241E-2</v>
      </c>
      <c r="M182" s="5">
        <v>100</v>
      </c>
      <c r="N182" s="6">
        <v>0.87847222222222221</v>
      </c>
      <c r="O182" s="5" t="s">
        <v>197</v>
      </c>
      <c r="P182" s="4" t="s">
        <v>197</v>
      </c>
      <c r="Q182" s="5" t="s">
        <v>197</v>
      </c>
      <c r="R182" s="5">
        <v>5216.0389537200399</v>
      </c>
      <c r="S182" s="7">
        <v>0.92174449149765803</v>
      </c>
      <c r="T182" s="5">
        <v>0</v>
      </c>
      <c r="U182" s="8">
        <v>0</v>
      </c>
      <c r="V182" s="20" t="str">
        <f t="shared" si="44"/>
        <v/>
      </c>
      <c r="W182" s="20">
        <f t="shared" si="45"/>
        <v>0</v>
      </c>
    </row>
    <row r="183" spans="1:23" x14ac:dyDescent="0.2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O183" s="22"/>
      <c r="P183" s="4" t="s">
        <v>197</v>
      </c>
      <c r="Q183" s="5" t="s">
        <v>199</v>
      </c>
      <c r="R183" s="7">
        <v>5969.3743885712302</v>
      </c>
      <c r="S183" s="7">
        <v>0.93465993478297404</v>
      </c>
      <c r="T183" s="5">
        <v>0</v>
      </c>
      <c r="U183" s="8">
        <v>4.9162999926255499E-5</v>
      </c>
      <c r="V183" s="20" t="str">
        <f t="shared" si="44"/>
        <v/>
      </c>
      <c r="W183" s="20">
        <f t="shared" si="45"/>
        <v>1</v>
      </c>
    </row>
    <row r="184" spans="1:23" x14ac:dyDescent="0.2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O184" s="22"/>
      <c r="P184" s="4" t="s">
        <v>197</v>
      </c>
      <c r="Q184" s="5" t="s">
        <v>201</v>
      </c>
      <c r="R184" s="7">
        <v>5790.9922650505496</v>
      </c>
      <c r="S184" s="7">
        <v>0.93299005381796696</v>
      </c>
      <c r="T184" s="5">
        <v>0</v>
      </c>
      <c r="U184" s="8">
        <v>0</v>
      </c>
      <c r="V184" s="20" t="str">
        <f t="shared" si="44"/>
        <v/>
      </c>
      <c r="W184" s="20">
        <f t="shared" si="45"/>
        <v>0</v>
      </c>
    </row>
    <row r="185" spans="1:23" x14ac:dyDescent="0.2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6"/>
      <c r="O185" s="5"/>
      <c r="P185" s="4" t="s">
        <v>197</v>
      </c>
      <c r="Q185" s="5" t="s">
        <v>202</v>
      </c>
      <c r="R185" s="7">
        <v>5668.7909950311796</v>
      </c>
      <c r="S185" s="7">
        <v>0.93303731746815599</v>
      </c>
      <c r="T185" s="5">
        <v>0</v>
      </c>
      <c r="U185" s="8">
        <v>0</v>
      </c>
      <c r="V185" s="20" t="str">
        <f t="shared" si="44"/>
        <v/>
      </c>
      <c r="W185" s="20">
        <f t="shared" si="45"/>
        <v>0</v>
      </c>
    </row>
    <row r="186" spans="1:23" x14ac:dyDescent="0.2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6"/>
      <c r="O186" s="5"/>
      <c r="P186" s="4" t="s">
        <v>197</v>
      </c>
      <c r="Q186" s="5" t="s">
        <v>203</v>
      </c>
      <c r="R186" s="7">
        <v>5443.6415348651099</v>
      </c>
      <c r="S186" s="7">
        <v>0.93070552363801196</v>
      </c>
      <c r="T186" s="5">
        <v>0</v>
      </c>
      <c r="U186" s="8">
        <v>0</v>
      </c>
      <c r="V186" s="20" t="str">
        <f t="shared" si="44"/>
        <v/>
      </c>
      <c r="W186" s="20">
        <f t="shared" si="45"/>
        <v>0</v>
      </c>
    </row>
    <row r="187" spans="1:23" x14ac:dyDescent="0.2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6"/>
      <c r="O187" s="5"/>
      <c r="P187" s="4" t="s">
        <v>197</v>
      </c>
      <c r="Q187" s="5" t="s">
        <v>204</v>
      </c>
      <c r="R187" s="7">
        <v>5292.2036651897497</v>
      </c>
      <c r="S187" s="7">
        <v>0.92336663548609799</v>
      </c>
      <c r="T187" s="5">
        <v>0</v>
      </c>
      <c r="U187" s="8">
        <v>0</v>
      </c>
      <c r="V187" s="20" t="str">
        <f t="shared" si="44"/>
        <v/>
      </c>
      <c r="W187" s="20">
        <f t="shared" si="45"/>
        <v>0</v>
      </c>
    </row>
    <row r="188" spans="1:23" x14ac:dyDescent="0.2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6"/>
      <c r="O188" s="5"/>
      <c r="P188" s="4" t="s">
        <v>197</v>
      </c>
      <c r="Q188" s="5" t="s">
        <v>205</v>
      </c>
      <c r="R188" s="7">
        <v>4984.9099079914004</v>
      </c>
      <c r="S188" s="5">
        <v>0.90656635640692695</v>
      </c>
      <c r="T188" s="5">
        <v>0</v>
      </c>
      <c r="U188" s="8">
        <v>0</v>
      </c>
      <c r="V188" s="20" t="str">
        <f t="shared" si="44"/>
        <v/>
      </c>
      <c r="W188" s="20">
        <f t="shared" si="45"/>
        <v>0</v>
      </c>
    </row>
    <row r="189" spans="1:23" x14ac:dyDescent="0.2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6"/>
      <c r="O189" s="5"/>
      <c r="P189" s="4" t="s">
        <v>197</v>
      </c>
      <c r="Q189" s="5" t="s">
        <v>206</v>
      </c>
      <c r="R189" s="7">
        <v>-823.89637759492996</v>
      </c>
      <c r="S189" s="7">
        <v>-0.12791344353480699</v>
      </c>
      <c r="T189" s="5">
        <v>0.49671836975492201</v>
      </c>
      <c r="U189" s="8">
        <v>0.495907180256139</v>
      </c>
      <c r="V189" s="20" t="str">
        <f t="shared" si="44"/>
        <v/>
      </c>
      <c r="W189" s="20">
        <f t="shared" si="45"/>
        <v>0</v>
      </c>
    </row>
    <row r="190" spans="1:23" x14ac:dyDescent="0.2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6"/>
      <c r="O190" s="5"/>
      <c r="P190" s="4" t="s">
        <v>197</v>
      </c>
      <c r="Q190" s="5" t="s">
        <v>207</v>
      </c>
      <c r="R190" s="7">
        <v>6014.7756036143801</v>
      </c>
      <c r="S190" s="7">
        <v>0.92378395613753495</v>
      </c>
      <c r="T190" s="5">
        <v>0</v>
      </c>
      <c r="U190" s="8">
        <v>0</v>
      </c>
      <c r="V190" s="20" t="str">
        <f t="shared" si="44"/>
        <v/>
      </c>
      <c r="W190" s="20">
        <f t="shared" si="45"/>
        <v>0</v>
      </c>
    </row>
    <row r="191" spans="1:23" ht="17" thickBot="1" x14ac:dyDescent="0.2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6"/>
      <c r="O191" s="5"/>
      <c r="P191" s="9" t="s">
        <v>197</v>
      </c>
      <c r="Q191" s="10" t="s">
        <v>208</v>
      </c>
      <c r="R191" s="11">
        <v>5726.1931263659899</v>
      </c>
      <c r="S191" s="10">
        <v>0.92673591725455196</v>
      </c>
      <c r="T191" s="10">
        <v>0</v>
      </c>
      <c r="U191" s="12">
        <v>0</v>
      </c>
      <c r="V191" s="20" t="str">
        <f t="shared" si="44"/>
        <v/>
      </c>
      <c r="W191" s="20">
        <f t="shared" si="45"/>
        <v>0</v>
      </c>
    </row>
    <row r="192" spans="1:23" x14ac:dyDescent="0.2">
      <c r="A192" s="4"/>
      <c r="B192" s="5"/>
      <c r="C192" s="5"/>
      <c r="D192" s="5"/>
      <c r="E192" s="5"/>
      <c r="F192" s="5"/>
      <c r="G192" s="5"/>
      <c r="H192" s="5"/>
      <c r="I192" s="5">
        <f t="shared" ref="I192" si="52">AVERAGE(T192:T201)</f>
        <v>7.9889874880165104E-4</v>
      </c>
      <c r="J192" s="5"/>
      <c r="K192" s="5">
        <f t="shared" ref="K192" si="53">AVERAGE(U192:U201)</f>
        <v>0</v>
      </c>
      <c r="L192" s="5"/>
      <c r="M192" s="5"/>
      <c r="N192" s="6">
        <v>0.87916666666666665</v>
      </c>
      <c r="O192" s="5" t="s">
        <v>198</v>
      </c>
      <c r="P192" s="13" t="s">
        <v>198</v>
      </c>
      <c r="Q192" s="14" t="s">
        <v>198</v>
      </c>
      <c r="R192" s="15">
        <v>5330.9453212256503</v>
      </c>
      <c r="S192" s="15">
        <v>0.92855120994701201</v>
      </c>
      <c r="T192" s="14">
        <v>0</v>
      </c>
      <c r="U192" s="16">
        <v>0</v>
      </c>
      <c r="V192" s="20" t="str">
        <f t="shared" si="44"/>
        <v/>
      </c>
      <c r="W192" s="20">
        <f t="shared" si="45"/>
        <v>0</v>
      </c>
    </row>
    <row r="193" spans="1:23" x14ac:dyDescent="0.2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O193" s="22"/>
      <c r="P193" s="4" t="s">
        <v>198</v>
      </c>
      <c r="Q193" s="5" t="s">
        <v>209</v>
      </c>
      <c r="R193" s="7">
        <v>5559.5697248474698</v>
      </c>
      <c r="S193" s="7">
        <v>0.93651385941415999</v>
      </c>
      <c r="T193" s="5">
        <v>0</v>
      </c>
      <c r="U193" s="8">
        <v>0</v>
      </c>
      <c r="V193" s="20" t="str">
        <f t="shared" si="44"/>
        <v/>
      </c>
      <c r="W193" s="20">
        <f t="shared" si="45"/>
        <v>0</v>
      </c>
    </row>
    <row r="194" spans="1:23" x14ac:dyDescent="0.2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6"/>
      <c r="O194" s="5"/>
      <c r="P194" s="4" t="s">
        <v>198</v>
      </c>
      <c r="Q194" s="5" t="s">
        <v>210</v>
      </c>
      <c r="R194" s="7">
        <v>5771.9668466651601</v>
      </c>
      <c r="S194" s="7">
        <v>0.92999580528374004</v>
      </c>
      <c r="T194" s="5">
        <v>0</v>
      </c>
      <c r="U194" s="8">
        <v>0</v>
      </c>
      <c r="V194" s="20" t="str">
        <f t="shared" si="44"/>
        <v/>
      </c>
      <c r="W194" s="20">
        <f t="shared" si="45"/>
        <v>0</v>
      </c>
    </row>
    <row r="195" spans="1:23" x14ac:dyDescent="0.2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6"/>
      <c r="O195" s="5"/>
      <c r="P195" s="4" t="s">
        <v>198</v>
      </c>
      <c r="Q195" s="5" t="s">
        <v>211</v>
      </c>
      <c r="R195" s="7">
        <v>4552.6496211697604</v>
      </c>
      <c r="S195" s="7">
        <v>0.87462105823426906</v>
      </c>
      <c r="T195" s="5">
        <v>0</v>
      </c>
      <c r="U195" s="8">
        <v>0</v>
      </c>
      <c r="V195" s="20" t="str">
        <f t="shared" si="44"/>
        <v/>
      </c>
      <c r="W195" s="20">
        <f t="shared" si="45"/>
        <v>0</v>
      </c>
    </row>
    <row r="196" spans="1:23" x14ac:dyDescent="0.2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6"/>
      <c r="O196" s="5"/>
      <c r="P196" s="4" t="s">
        <v>198</v>
      </c>
      <c r="Q196" s="5" t="s">
        <v>212</v>
      </c>
      <c r="R196" s="7">
        <v>5465.22718975931</v>
      </c>
      <c r="S196" s="7">
        <v>0.92073066306394602</v>
      </c>
      <c r="T196" s="5">
        <v>7.9889874880165104E-3</v>
      </c>
      <c r="U196" s="8">
        <v>0</v>
      </c>
      <c r="V196" s="20">
        <f t="shared" si="44"/>
        <v>7.9889874880165104E-3</v>
      </c>
      <c r="W196" s="20">
        <f t="shared" si="45"/>
        <v>0</v>
      </c>
    </row>
    <row r="197" spans="1:23" x14ac:dyDescent="0.2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6"/>
      <c r="O197" s="5"/>
      <c r="P197" s="4" t="s">
        <v>198</v>
      </c>
      <c r="Q197" s="5" t="s">
        <v>213</v>
      </c>
      <c r="R197" s="7">
        <v>5979.2552694080096</v>
      </c>
      <c r="S197" s="7">
        <v>0.93945547783531003</v>
      </c>
      <c r="T197" s="5">
        <v>0</v>
      </c>
      <c r="U197" s="8">
        <v>0</v>
      </c>
      <c r="V197" s="20" t="str">
        <f t="shared" si="44"/>
        <v/>
      </c>
      <c r="W197" s="20">
        <f t="shared" si="45"/>
        <v>0</v>
      </c>
    </row>
    <row r="198" spans="1:23" x14ac:dyDescent="0.2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6"/>
      <c r="O198" s="5"/>
      <c r="P198" s="4" t="s">
        <v>198</v>
      </c>
      <c r="Q198" s="5" t="s">
        <v>214</v>
      </c>
      <c r="R198" s="5">
        <v>5946.6905676987299</v>
      </c>
      <c r="S198" s="5">
        <v>0.93296291465765802</v>
      </c>
      <c r="T198" s="5">
        <v>0</v>
      </c>
      <c r="U198" s="8">
        <v>0</v>
      </c>
      <c r="V198" s="20" t="str">
        <f t="shared" si="44"/>
        <v/>
      </c>
      <c r="W198" s="20">
        <f t="shared" si="45"/>
        <v>0</v>
      </c>
    </row>
    <row r="199" spans="1:23" x14ac:dyDescent="0.2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6"/>
      <c r="O199" s="5"/>
      <c r="P199" s="4" t="s">
        <v>198</v>
      </c>
      <c r="Q199" s="5" t="s">
        <v>215</v>
      </c>
      <c r="R199" s="7">
        <v>5877.9655079036102</v>
      </c>
      <c r="S199" s="7">
        <v>0.93725590450543195</v>
      </c>
      <c r="T199" s="5">
        <v>0</v>
      </c>
      <c r="U199" s="8">
        <v>0</v>
      </c>
      <c r="V199" s="20" t="str">
        <f t="shared" si="44"/>
        <v/>
      </c>
      <c r="W199" s="20">
        <f t="shared" si="45"/>
        <v>0</v>
      </c>
    </row>
    <row r="200" spans="1:23" x14ac:dyDescent="0.2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6"/>
      <c r="O200" s="5"/>
      <c r="P200" s="4" t="s">
        <v>198</v>
      </c>
      <c r="Q200" s="5" t="s">
        <v>216</v>
      </c>
      <c r="R200" s="7">
        <v>6236.3479429836598</v>
      </c>
      <c r="S200" s="7">
        <v>0.93640228014383198</v>
      </c>
      <c r="T200" s="5">
        <v>0</v>
      </c>
      <c r="U200" s="8">
        <v>0</v>
      </c>
      <c r="V200" s="20" t="str">
        <f t="shared" si="44"/>
        <v/>
      </c>
      <c r="W200" s="20">
        <f t="shared" si="45"/>
        <v>0</v>
      </c>
    </row>
    <row r="201" spans="1:23" ht="17" thickBot="1" x14ac:dyDescent="0.25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6"/>
      <c r="O201" s="5"/>
      <c r="P201" s="9" t="s">
        <v>198</v>
      </c>
      <c r="Q201" s="10" t="s">
        <v>217</v>
      </c>
      <c r="R201" s="11">
        <v>5801.7671636711802</v>
      </c>
      <c r="S201" s="11">
        <v>0.93713443573232103</v>
      </c>
      <c r="T201" s="10">
        <v>0</v>
      </c>
      <c r="U201" s="12">
        <v>0</v>
      </c>
      <c r="V201" s="20" t="str">
        <f t="shared" si="44"/>
        <v/>
      </c>
      <c r="W201" s="20">
        <f t="shared" si="45"/>
        <v>0</v>
      </c>
    </row>
    <row r="202" spans="1:23" x14ac:dyDescent="0.2">
      <c r="A202" s="4"/>
      <c r="B202" s="5"/>
      <c r="C202" s="5"/>
      <c r="D202" s="5"/>
      <c r="E202" s="5"/>
      <c r="F202" s="5"/>
      <c r="G202" s="5"/>
      <c r="H202" s="5"/>
      <c r="I202" s="5">
        <f t="shared" ref="I202" si="54">AVERAGE(T202:T211)</f>
        <v>8.8985029866522382E-4</v>
      </c>
      <c r="J202" s="5"/>
      <c r="K202" s="5">
        <f t="shared" ref="K202" si="55">AVERAGE(U202:U211)</f>
        <v>1.35198249797202E-4</v>
      </c>
      <c r="L202" s="5"/>
      <c r="M202" s="5"/>
      <c r="N202" s="6">
        <v>0.88055555555555554</v>
      </c>
      <c r="O202" s="5" t="s">
        <v>200</v>
      </c>
      <c r="P202" s="13" t="s">
        <v>200</v>
      </c>
      <c r="Q202" s="14" t="s">
        <v>200</v>
      </c>
      <c r="R202" s="15">
        <v>5864.5954378709303</v>
      </c>
      <c r="S202" s="15">
        <v>0.93096515172327499</v>
      </c>
      <c r="T202" s="14">
        <v>6.0470489909294203E-3</v>
      </c>
      <c r="U202" s="16">
        <v>1.35198249797202E-3</v>
      </c>
      <c r="V202" s="20" t="str">
        <f t="shared" si="44"/>
        <v/>
      </c>
      <c r="W202" s="20">
        <f t="shared" si="45"/>
        <v>0</v>
      </c>
    </row>
    <row r="203" spans="1:23" x14ac:dyDescent="0.2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6"/>
      <c r="O203" s="5"/>
      <c r="P203" s="4" t="s">
        <v>200</v>
      </c>
      <c r="Q203" s="5" t="s">
        <v>218</v>
      </c>
      <c r="R203" s="7">
        <v>5831.7523935571198</v>
      </c>
      <c r="S203" s="7">
        <v>0.92159965571382696</v>
      </c>
      <c r="T203" s="5">
        <v>0</v>
      </c>
      <c r="U203" s="8">
        <v>0</v>
      </c>
      <c r="V203" s="20" t="str">
        <f t="shared" si="44"/>
        <v/>
      </c>
      <c r="W203" s="20">
        <f t="shared" si="45"/>
        <v>0</v>
      </c>
    </row>
    <row r="204" spans="1:23" x14ac:dyDescent="0.2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6"/>
      <c r="O204" s="5"/>
      <c r="P204" s="4" t="s">
        <v>200</v>
      </c>
      <c r="Q204" s="5" t="s">
        <v>219</v>
      </c>
      <c r="R204" s="7">
        <v>5595.8940758788603</v>
      </c>
      <c r="S204" s="7">
        <v>0.93562060105393097</v>
      </c>
      <c r="T204" s="5">
        <v>0</v>
      </c>
      <c r="U204" s="8">
        <v>0</v>
      </c>
      <c r="V204" s="20" t="str">
        <f t="shared" si="44"/>
        <v/>
      </c>
      <c r="W204" s="20">
        <f t="shared" si="45"/>
        <v>0</v>
      </c>
    </row>
    <row r="205" spans="1:23" x14ac:dyDescent="0.2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6"/>
      <c r="O205" s="5"/>
      <c r="P205" s="4" t="s">
        <v>200</v>
      </c>
      <c r="Q205" s="5" t="s">
        <v>220</v>
      </c>
      <c r="R205" s="7">
        <v>5984.6026577776202</v>
      </c>
      <c r="S205" s="7">
        <v>0.91539618393732103</v>
      </c>
      <c r="T205" s="5">
        <v>0</v>
      </c>
      <c r="U205" s="8">
        <v>0</v>
      </c>
      <c r="V205" s="20" t="str">
        <f t="shared" si="44"/>
        <v/>
      </c>
      <c r="W205" s="20">
        <f t="shared" si="45"/>
        <v>0</v>
      </c>
    </row>
    <row r="206" spans="1:23" x14ac:dyDescent="0.2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6"/>
      <c r="O206" s="5"/>
      <c r="P206" s="4" t="s">
        <v>200</v>
      </c>
      <c r="Q206" s="5" t="s">
        <v>221</v>
      </c>
      <c r="R206" s="5">
        <v>5567.48243695581</v>
      </c>
      <c r="S206" s="5">
        <v>0.93387197442908998</v>
      </c>
      <c r="T206" s="5">
        <v>0</v>
      </c>
      <c r="U206" s="8">
        <v>0</v>
      </c>
      <c r="V206" s="20" t="str">
        <f t="shared" si="44"/>
        <v/>
      </c>
      <c r="W206" s="20">
        <f t="shared" si="45"/>
        <v>0</v>
      </c>
    </row>
    <row r="207" spans="1:23" x14ac:dyDescent="0.2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6"/>
      <c r="O207" s="5"/>
      <c r="P207" s="4" t="s">
        <v>200</v>
      </c>
      <c r="Q207" s="5" t="s">
        <v>222</v>
      </c>
      <c r="R207" s="7">
        <v>1509.88105283758</v>
      </c>
      <c r="S207" s="7">
        <v>0.24954748607052801</v>
      </c>
      <c r="T207" s="5">
        <v>0</v>
      </c>
      <c r="U207" s="8">
        <v>0</v>
      </c>
      <c r="V207" s="20" t="str">
        <f t="shared" si="44"/>
        <v/>
      </c>
      <c r="W207" s="20">
        <f t="shared" si="45"/>
        <v>0</v>
      </c>
    </row>
    <row r="208" spans="1:23" x14ac:dyDescent="0.2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6"/>
      <c r="O208" s="5"/>
      <c r="P208" s="4" t="s">
        <v>200</v>
      </c>
      <c r="Q208" s="5" t="s">
        <v>223</v>
      </c>
      <c r="R208" s="7">
        <v>5446.18756576953</v>
      </c>
      <c r="S208" s="7">
        <v>0.86998245467870805</v>
      </c>
      <c r="T208" s="5">
        <v>2.4581499963127699E-5</v>
      </c>
      <c r="U208" s="8">
        <v>0</v>
      </c>
      <c r="V208" s="20">
        <f t="shared" si="44"/>
        <v>2.4581499963127699E-5</v>
      </c>
      <c r="W208" s="20">
        <f t="shared" si="45"/>
        <v>0</v>
      </c>
    </row>
    <row r="209" spans="1:23" x14ac:dyDescent="0.2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6"/>
      <c r="O209" s="5"/>
      <c r="P209" s="4" t="s">
        <v>200</v>
      </c>
      <c r="Q209" s="5" t="s">
        <v>224</v>
      </c>
      <c r="R209" s="7">
        <v>5747.11167881238</v>
      </c>
      <c r="S209" s="7">
        <v>0.92705332943457097</v>
      </c>
      <c r="T209" s="5">
        <v>0</v>
      </c>
      <c r="U209" s="8">
        <v>0</v>
      </c>
      <c r="V209" s="20" t="str">
        <f t="shared" si="44"/>
        <v/>
      </c>
      <c r="W209" s="20">
        <f t="shared" si="45"/>
        <v>0</v>
      </c>
    </row>
    <row r="210" spans="1:23" x14ac:dyDescent="0.2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6"/>
      <c r="O210" s="5"/>
      <c r="P210" s="4" t="s">
        <v>200</v>
      </c>
      <c r="Q210" s="5" t="s">
        <v>225</v>
      </c>
      <c r="R210" s="7">
        <v>5237.3586383960901</v>
      </c>
      <c r="S210" s="5">
        <v>0.90997089933308795</v>
      </c>
      <c r="T210" s="5">
        <v>0</v>
      </c>
      <c r="U210" s="8">
        <v>0</v>
      </c>
      <c r="V210" s="20" t="str">
        <f t="shared" si="44"/>
        <v/>
      </c>
      <c r="W210" s="20">
        <f t="shared" si="45"/>
        <v>0</v>
      </c>
    </row>
    <row r="211" spans="1:23" ht="17" thickBot="1" x14ac:dyDescent="0.25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7"/>
      <c r="O211" s="10"/>
      <c r="P211" s="9" t="s">
        <v>200</v>
      </c>
      <c r="Q211" s="10" t="s">
        <v>226</v>
      </c>
      <c r="R211" s="11">
        <v>5868.5730838198897</v>
      </c>
      <c r="S211" s="10">
        <v>0.75616736245168503</v>
      </c>
      <c r="T211" s="10">
        <v>2.82687249575969E-3</v>
      </c>
      <c r="U211" s="12">
        <v>0</v>
      </c>
      <c r="V211" s="20">
        <f t="shared" si="44"/>
        <v>2.82687249575969E-3</v>
      </c>
      <c r="W211" s="20">
        <f t="shared" si="45"/>
        <v>0</v>
      </c>
    </row>
    <row r="212" spans="1:23" x14ac:dyDescent="0.2">
      <c r="A212" s="4">
        <v>8</v>
      </c>
      <c r="B212" s="5">
        <v>0.52</v>
      </c>
      <c r="C212" s="5" t="s">
        <v>16</v>
      </c>
      <c r="D212" s="5">
        <v>0.31</v>
      </c>
      <c r="E212" s="5">
        <f>(D212/B212)*100</f>
        <v>59.615384615384613</v>
      </c>
      <c r="F212" s="5">
        <v>6</v>
      </c>
      <c r="G212" s="5">
        <v>3.6</v>
      </c>
      <c r="H212" s="5">
        <v>4.2</v>
      </c>
      <c r="I212" s="5">
        <f t="shared" ref="I212" si="56">AVERAGE(T212:T221)</f>
        <v>1.3249428480125798E-3</v>
      </c>
      <c r="J212" s="5">
        <f t="shared" ref="J212" si="57">AVERAGE(T212:T241)</f>
        <v>2.2115156133493893E-3</v>
      </c>
      <c r="K212" s="5">
        <f t="shared" ref="K212" si="58">AVERAGE(U212:U221)</f>
        <v>1.2487401981268798E-3</v>
      </c>
      <c r="L212" s="5">
        <f t="shared" ref="L212" si="59">AVERAGE(U212:U241)</f>
        <v>1.2257974648279665E-3</v>
      </c>
      <c r="M212" s="5">
        <v>100</v>
      </c>
      <c r="N212" s="6">
        <v>0.88541666666666663</v>
      </c>
      <c r="O212" s="5" t="s">
        <v>227</v>
      </c>
      <c r="P212" s="4" t="s">
        <v>227</v>
      </c>
      <c r="Q212" s="5" t="s">
        <v>227</v>
      </c>
      <c r="R212" s="5">
        <v>5393.8270665024202</v>
      </c>
      <c r="S212" s="7">
        <v>0.864098548494318</v>
      </c>
      <c r="T212" s="5">
        <v>0</v>
      </c>
      <c r="U212" s="8">
        <v>0</v>
      </c>
      <c r="V212" s="20" t="str">
        <f t="shared" si="44"/>
        <v/>
      </c>
      <c r="W212" s="20">
        <f t="shared" si="45"/>
        <v>0</v>
      </c>
    </row>
    <row r="213" spans="1:23" x14ac:dyDescent="0.2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O213" s="22"/>
      <c r="P213" s="4" t="s">
        <v>227</v>
      </c>
      <c r="Q213" s="5" t="s">
        <v>229</v>
      </c>
      <c r="R213" s="7">
        <v>5476.3480808454196</v>
      </c>
      <c r="S213" s="7">
        <v>0.86093959443371404</v>
      </c>
      <c r="T213" s="5">
        <v>2.4581499963127699E-5</v>
      </c>
      <c r="U213" s="8">
        <v>0</v>
      </c>
      <c r="V213" s="20">
        <f t="shared" si="44"/>
        <v>2.4581499963127699E-5</v>
      </c>
      <c r="W213" s="20">
        <f t="shared" si="45"/>
        <v>0</v>
      </c>
    </row>
    <row r="214" spans="1:23" x14ac:dyDescent="0.2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O214" s="22"/>
      <c r="P214" s="4" t="s">
        <v>227</v>
      </c>
      <c r="Q214" s="5" t="s">
        <v>231</v>
      </c>
      <c r="R214" s="7">
        <v>5488.7409411927201</v>
      </c>
      <c r="S214" s="7">
        <v>0.86499959101429102</v>
      </c>
      <c r="T214" s="5">
        <v>0</v>
      </c>
      <c r="U214" s="8">
        <v>0</v>
      </c>
      <c r="V214" s="20" t="str">
        <f t="shared" si="44"/>
        <v/>
      </c>
      <c r="W214" s="20">
        <f t="shared" si="45"/>
        <v>0</v>
      </c>
    </row>
    <row r="215" spans="1:23" x14ac:dyDescent="0.2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6"/>
      <c r="O215" s="5"/>
      <c r="P215" s="4" t="s">
        <v>227</v>
      </c>
      <c r="Q215" s="5" t="s">
        <v>232</v>
      </c>
      <c r="R215" s="7">
        <v>5799.8855131910204</v>
      </c>
      <c r="S215" s="7">
        <v>0.89382057319467501</v>
      </c>
      <c r="T215" s="5">
        <v>0</v>
      </c>
      <c r="U215" s="8">
        <v>0</v>
      </c>
      <c r="V215" s="20" t="str">
        <f t="shared" si="44"/>
        <v/>
      </c>
      <c r="W215" s="20">
        <f t="shared" si="45"/>
        <v>0</v>
      </c>
    </row>
    <row r="216" spans="1:23" x14ac:dyDescent="0.2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6"/>
      <c r="O216" s="5"/>
      <c r="P216" s="4" t="s">
        <v>227</v>
      </c>
      <c r="Q216" s="5" t="s">
        <v>233</v>
      </c>
      <c r="R216" s="7">
        <v>5877.7126109384199</v>
      </c>
      <c r="S216" s="7">
        <v>0.88523265138693297</v>
      </c>
      <c r="T216" s="5">
        <v>1.2806961480789501E-2</v>
      </c>
      <c r="U216" s="8">
        <v>1.2487401981268799E-2</v>
      </c>
      <c r="V216" s="20" t="str">
        <f t="shared" si="44"/>
        <v/>
      </c>
      <c r="W216" s="20">
        <f t="shared" si="45"/>
        <v>0</v>
      </c>
    </row>
    <row r="217" spans="1:23" x14ac:dyDescent="0.2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6"/>
      <c r="O217" s="5"/>
      <c r="P217" s="4" t="s">
        <v>227</v>
      </c>
      <c r="Q217" s="5" t="s">
        <v>234</v>
      </c>
      <c r="R217" s="7">
        <v>5923.9435935373504</v>
      </c>
      <c r="S217" s="7">
        <v>0.88466102662671597</v>
      </c>
      <c r="T217" s="5">
        <v>0</v>
      </c>
      <c r="U217" s="8">
        <v>0</v>
      </c>
      <c r="V217" s="20" t="str">
        <f t="shared" si="44"/>
        <v/>
      </c>
      <c r="W217" s="20">
        <f t="shared" si="45"/>
        <v>0</v>
      </c>
    </row>
    <row r="218" spans="1:23" x14ac:dyDescent="0.2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6"/>
      <c r="O218" s="5"/>
      <c r="P218" s="4" t="s">
        <v>227</v>
      </c>
      <c r="Q218" s="5" t="s">
        <v>235</v>
      </c>
      <c r="R218" s="7">
        <v>5932.9588436288896</v>
      </c>
      <c r="S218" s="5">
        <v>0.82386432665277798</v>
      </c>
      <c r="T218" s="5">
        <v>3.9330399941004399E-4</v>
      </c>
      <c r="U218" s="8">
        <v>0</v>
      </c>
      <c r="V218" s="20">
        <f t="shared" si="44"/>
        <v>3.9330399941004399E-4</v>
      </c>
      <c r="W218" s="20">
        <f t="shared" si="45"/>
        <v>0</v>
      </c>
    </row>
    <row r="219" spans="1:23" x14ac:dyDescent="0.2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6"/>
      <c r="O219" s="5"/>
      <c r="P219" s="4" t="s">
        <v>227</v>
      </c>
      <c r="Q219" s="5" t="s">
        <v>236</v>
      </c>
      <c r="R219" s="7">
        <v>5504.0028107083899</v>
      </c>
      <c r="S219" s="7">
        <v>0.88349897772046604</v>
      </c>
      <c r="T219" s="5">
        <v>2.4581499963127699E-5</v>
      </c>
      <c r="U219" s="8">
        <v>0</v>
      </c>
      <c r="V219" s="20">
        <f t="shared" si="44"/>
        <v>2.4581499963127699E-5</v>
      </c>
      <c r="W219" s="20">
        <f t="shared" si="45"/>
        <v>0</v>
      </c>
    </row>
    <row r="220" spans="1:23" x14ac:dyDescent="0.2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6"/>
      <c r="O220" s="5"/>
      <c r="P220" s="4" t="s">
        <v>227</v>
      </c>
      <c r="Q220" s="5" t="s">
        <v>237</v>
      </c>
      <c r="R220" s="7">
        <v>5294.2938655212802</v>
      </c>
      <c r="S220" s="7">
        <v>0.87001375195491804</v>
      </c>
      <c r="T220" s="5">
        <v>0</v>
      </c>
      <c r="U220" s="8">
        <v>0</v>
      </c>
      <c r="V220" s="20" t="str">
        <f t="shared" si="44"/>
        <v/>
      </c>
      <c r="W220" s="20">
        <f t="shared" si="45"/>
        <v>0</v>
      </c>
    </row>
    <row r="221" spans="1:23" ht="17" thickBot="1" x14ac:dyDescent="0.2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6"/>
      <c r="O221" s="5"/>
      <c r="P221" s="9" t="s">
        <v>227</v>
      </c>
      <c r="Q221" s="10" t="s">
        <v>238</v>
      </c>
      <c r="R221" s="11">
        <v>5278.6787774269596</v>
      </c>
      <c r="S221" s="10">
        <v>0.87351842915925804</v>
      </c>
      <c r="T221" s="10">
        <v>0</v>
      </c>
      <c r="U221" s="12">
        <v>0</v>
      </c>
      <c r="V221" s="20" t="str">
        <f t="shared" si="44"/>
        <v/>
      </c>
      <c r="W221" s="20">
        <f t="shared" si="45"/>
        <v>0</v>
      </c>
    </row>
    <row r="222" spans="1:23" x14ac:dyDescent="0.2">
      <c r="A222" s="4"/>
      <c r="B222" s="5"/>
      <c r="C222" s="5"/>
      <c r="D222" s="5"/>
      <c r="E222" s="5"/>
      <c r="F222" s="5"/>
      <c r="G222" s="5"/>
      <c r="H222" s="5"/>
      <c r="I222" s="5">
        <f t="shared" ref="I222" si="60">AVERAGE(T222:T231)</f>
        <v>3.1955949952065986E-5</v>
      </c>
      <c r="J222" s="5"/>
      <c r="K222" s="5">
        <f t="shared" ref="K222" si="61">AVERAGE(U222:U231)</f>
        <v>0</v>
      </c>
      <c r="L222" s="5"/>
      <c r="M222" s="5"/>
      <c r="N222" s="6">
        <v>0.88680555555555551</v>
      </c>
      <c r="O222" s="5" t="s">
        <v>228</v>
      </c>
      <c r="P222" s="13" t="s">
        <v>228</v>
      </c>
      <c r="Q222" s="14" t="s">
        <v>228</v>
      </c>
      <c r="R222" s="15">
        <v>5439.04518064684</v>
      </c>
      <c r="S222" s="15">
        <v>0.84593466088003499</v>
      </c>
      <c r="T222" s="14">
        <v>9.8325999852510998E-5</v>
      </c>
      <c r="U222" s="16">
        <v>0</v>
      </c>
      <c r="V222" s="20">
        <f t="shared" si="44"/>
        <v>9.8325999852510998E-5</v>
      </c>
      <c r="W222" s="20">
        <f t="shared" si="45"/>
        <v>0</v>
      </c>
    </row>
    <row r="223" spans="1:23" x14ac:dyDescent="0.2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O223" s="22"/>
      <c r="P223" s="4" t="s">
        <v>228</v>
      </c>
      <c r="Q223" s="5" t="s">
        <v>239</v>
      </c>
      <c r="R223" s="7">
        <v>5885.9291035678298</v>
      </c>
      <c r="S223" s="7">
        <v>0.88678912949264999</v>
      </c>
      <c r="T223" s="5">
        <v>0</v>
      </c>
      <c r="U223" s="8">
        <v>0</v>
      </c>
      <c r="V223" s="20" t="str">
        <f t="shared" si="44"/>
        <v/>
      </c>
      <c r="W223" s="20">
        <f t="shared" si="45"/>
        <v>0</v>
      </c>
    </row>
    <row r="224" spans="1:23" x14ac:dyDescent="0.2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6"/>
      <c r="O224" s="5"/>
      <c r="P224" s="4" t="s">
        <v>228</v>
      </c>
      <c r="Q224" s="5" t="s">
        <v>240</v>
      </c>
      <c r="R224" s="7">
        <v>5195.9602253371504</v>
      </c>
      <c r="S224" s="7">
        <v>0.85761375336261303</v>
      </c>
      <c r="T224" s="5">
        <v>0</v>
      </c>
      <c r="U224" s="8">
        <v>0</v>
      </c>
      <c r="V224" s="20" t="str">
        <f t="shared" si="44"/>
        <v/>
      </c>
      <c r="W224" s="20">
        <f t="shared" si="45"/>
        <v>0</v>
      </c>
    </row>
    <row r="225" spans="1:23" x14ac:dyDescent="0.2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6"/>
      <c r="O225" s="5"/>
      <c r="P225" s="4" t="s">
        <v>228</v>
      </c>
      <c r="Q225" s="5" t="s">
        <v>241</v>
      </c>
      <c r="R225" s="7">
        <v>5726.20676064495</v>
      </c>
      <c r="S225" s="7">
        <v>0.88723909156147296</v>
      </c>
      <c r="T225" s="5">
        <v>0</v>
      </c>
      <c r="U225" s="8">
        <v>0</v>
      </c>
      <c r="V225" s="20" t="str">
        <f t="shared" si="44"/>
        <v/>
      </c>
      <c r="W225" s="20">
        <f t="shared" si="45"/>
        <v>0</v>
      </c>
    </row>
    <row r="226" spans="1:23" x14ac:dyDescent="0.2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6"/>
      <c r="O226" s="5"/>
      <c r="P226" s="4" t="s">
        <v>228</v>
      </c>
      <c r="Q226" s="5" t="s">
        <v>242</v>
      </c>
      <c r="R226" s="7">
        <v>5501.2635718930296</v>
      </c>
      <c r="S226" s="7">
        <v>0.88656642796943697</v>
      </c>
      <c r="T226" s="5">
        <v>0</v>
      </c>
      <c r="U226" s="8">
        <v>0</v>
      </c>
      <c r="V226" s="20" t="str">
        <f t="shared" si="44"/>
        <v/>
      </c>
      <c r="W226" s="20">
        <f t="shared" si="45"/>
        <v>0</v>
      </c>
    </row>
    <row r="227" spans="1:23" x14ac:dyDescent="0.2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6"/>
      <c r="O227" s="5"/>
      <c r="P227" s="4" t="s">
        <v>228</v>
      </c>
      <c r="Q227" s="5" t="s">
        <v>243</v>
      </c>
      <c r="R227" s="7">
        <v>5775.2783365709902</v>
      </c>
      <c r="S227" s="7">
        <v>0.87737416192114104</v>
      </c>
      <c r="T227" s="5">
        <v>0</v>
      </c>
      <c r="U227" s="8">
        <v>0</v>
      </c>
      <c r="V227" s="20" t="str">
        <f t="shared" si="44"/>
        <v/>
      </c>
      <c r="W227" s="20">
        <f t="shared" si="45"/>
        <v>0</v>
      </c>
    </row>
    <row r="228" spans="1:23" x14ac:dyDescent="0.2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6"/>
      <c r="O228" s="5"/>
      <c r="P228" s="4" t="s">
        <v>228</v>
      </c>
      <c r="Q228" s="5" t="s">
        <v>244</v>
      </c>
      <c r="R228" s="5">
        <v>5805.0097457239799</v>
      </c>
      <c r="S228" s="5">
        <v>0.86755574202702701</v>
      </c>
      <c r="T228" s="5">
        <v>1.22907499815638E-4</v>
      </c>
      <c r="U228" s="8">
        <v>0</v>
      </c>
      <c r="V228" s="20">
        <f t="shared" si="44"/>
        <v>1.22907499815638E-4</v>
      </c>
      <c r="W228" s="20">
        <f t="shared" si="45"/>
        <v>0</v>
      </c>
    </row>
    <row r="229" spans="1:23" x14ac:dyDescent="0.2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6"/>
      <c r="O229" s="5"/>
      <c r="P229" s="4" t="s">
        <v>228</v>
      </c>
      <c r="Q229" s="5" t="s">
        <v>245</v>
      </c>
      <c r="R229" s="7">
        <v>5621.9138191620304</v>
      </c>
      <c r="S229" s="7">
        <v>0.85477239954284601</v>
      </c>
      <c r="T229" s="5">
        <v>2.4581499963127699E-5</v>
      </c>
      <c r="U229" s="8">
        <v>0</v>
      </c>
      <c r="V229" s="20">
        <f t="shared" ref="V229:V292" si="62">IF(AND(U229=0,T229&lt;&gt;0), T229, "")</f>
        <v>2.4581499963127699E-5</v>
      </c>
      <c r="W229" s="20">
        <f t="shared" ref="W229:W292" si="63">IF(U229&gt;T229,1,0)</f>
        <v>0</v>
      </c>
    </row>
    <row r="230" spans="1:23" x14ac:dyDescent="0.2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6"/>
      <c r="O230" s="5"/>
      <c r="P230" s="4" t="s">
        <v>228</v>
      </c>
      <c r="Q230" s="5" t="s">
        <v>246</v>
      </c>
      <c r="R230" s="7">
        <v>5721.5008066695</v>
      </c>
      <c r="S230" s="7">
        <v>0.87447785904067998</v>
      </c>
      <c r="T230" s="5">
        <v>2.4581499963127699E-5</v>
      </c>
      <c r="U230" s="8">
        <v>0</v>
      </c>
      <c r="V230" s="20">
        <f t="shared" si="62"/>
        <v>2.4581499963127699E-5</v>
      </c>
      <c r="W230" s="20">
        <f t="shared" si="63"/>
        <v>0</v>
      </c>
    </row>
    <row r="231" spans="1:23" ht="17" thickBot="1" x14ac:dyDescent="0.25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6"/>
      <c r="O231" s="5"/>
      <c r="P231" s="9" t="s">
        <v>228</v>
      </c>
      <c r="Q231" s="10" t="s">
        <v>247</v>
      </c>
      <c r="R231" s="11">
        <v>5853.2053673765504</v>
      </c>
      <c r="S231" s="11">
        <v>0.87012148082283203</v>
      </c>
      <c r="T231" s="10">
        <v>4.9162999926255499E-5</v>
      </c>
      <c r="U231" s="12">
        <v>0</v>
      </c>
      <c r="V231" s="20">
        <f t="shared" si="62"/>
        <v>4.9162999926255499E-5</v>
      </c>
      <c r="W231" s="20">
        <f t="shared" si="63"/>
        <v>0</v>
      </c>
    </row>
    <row r="232" spans="1:23" x14ac:dyDescent="0.2">
      <c r="A232" s="4"/>
      <c r="B232" s="5"/>
      <c r="C232" s="5"/>
      <c r="D232" s="5"/>
      <c r="E232" s="5"/>
      <c r="F232" s="5"/>
      <c r="G232" s="5"/>
      <c r="H232" s="5"/>
      <c r="I232" s="5">
        <f t="shared" ref="I232" si="64">AVERAGE(T232:T241)</f>
        <v>5.2776480420835253E-3</v>
      </c>
      <c r="J232" s="5"/>
      <c r="K232" s="5">
        <f t="shared" ref="K232" si="65">AVERAGE(U232:U241)</f>
        <v>2.4286521963570199E-3</v>
      </c>
      <c r="L232" s="5"/>
      <c r="M232" s="5"/>
      <c r="N232" s="6">
        <v>0.88749999999999996</v>
      </c>
      <c r="O232" s="5" t="s">
        <v>230</v>
      </c>
      <c r="P232" s="13" t="s">
        <v>230</v>
      </c>
      <c r="Q232" s="14" t="s">
        <v>230</v>
      </c>
      <c r="R232" s="15">
        <v>3489.42367196337</v>
      </c>
      <c r="S232" s="15">
        <v>0.50776881499209703</v>
      </c>
      <c r="T232" s="14">
        <v>2.8465376957301902E-2</v>
      </c>
      <c r="U232" s="16">
        <v>0</v>
      </c>
      <c r="V232" s="20">
        <f t="shared" si="62"/>
        <v>2.8465376957301902E-2</v>
      </c>
      <c r="W232" s="20">
        <f t="shared" si="63"/>
        <v>0</v>
      </c>
    </row>
    <row r="233" spans="1:23" x14ac:dyDescent="0.2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6"/>
      <c r="O233" s="5"/>
      <c r="P233" s="4" t="s">
        <v>230</v>
      </c>
      <c r="Q233" s="5" t="s">
        <v>248</v>
      </c>
      <c r="R233" s="7">
        <v>5612.0179687072005</v>
      </c>
      <c r="S233" s="7">
        <v>0.81154758400153304</v>
      </c>
      <c r="T233" s="5">
        <v>2.4188195963717699E-2</v>
      </c>
      <c r="U233" s="8">
        <v>2.4286521963570201E-2</v>
      </c>
      <c r="V233" s="20" t="str">
        <f t="shared" si="62"/>
        <v/>
      </c>
      <c r="W233" s="20">
        <f t="shared" si="63"/>
        <v>1</v>
      </c>
    </row>
    <row r="234" spans="1:23" x14ac:dyDescent="0.2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6"/>
      <c r="O234" s="5"/>
      <c r="P234" s="4" t="s">
        <v>230</v>
      </c>
      <c r="Q234" s="5" t="s">
        <v>249</v>
      </c>
      <c r="R234" s="7">
        <v>5535.2240057707604</v>
      </c>
      <c r="S234" s="7">
        <v>0.85762151011077303</v>
      </c>
      <c r="T234" s="5">
        <v>4.9162999926255499E-5</v>
      </c>
      <c r="U234" s="8">
        <v>0</v>
      </c>
      <c r="V234" s="20">
        <f t="shared" si="62"/>
        <v>4.9162999926255499E-5</v>
      </c>
      <c r="W234" s="20">
        <f t="shared" si="63"/>
        <v>0</v>
      </c>
    </row>
    <row r="235" spans="1:23" x14ac:dyDescent="0.2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6"/>
      <c r="O235" s="5"/>
      <c r="P235" s="4" t="s">
        <v>230</v>
      </c>
      <c r="Q235" s="5" t="s">
        <v>250</v>
      </c>
      <c r="R235" s="7">
        <v>5521.4970447736596</v>
      </c>
      <c r="S235" s="7">
        <v>0.88593228742060304</v>
      </c>
      <c r="T235" s="5">
        <v>0</v>
      </c>
      <c r="U235" s="8">
        <v>0</v>
      </c>
      <c r="V235" s="20" t="str">
        <f t="shared" si="62"/>
        <v/>
      </c>
      <c r="W235" s="20">
        <f t="shared" si="63"/>
        <v>0</v>
      </c>
    </row>
    <row r="236" spans="1:23" x14ac:dyDescent="0.2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6"/>
      <c r="O236" s="5"/>
      <c r="P236" s="4" t="s">
        <v>230</v>
      </c>
      <c r="Q236" s="5" t="s">
        <v>251</v>
      </c>
      <c r="R236" s="5">
        <v>5464.18828296834</v>
      </c>
      <c r="S236" s="5">
        <v>0.872794515033677</v>
      </c>
      <c r="T236" s="5">
        <v>2.4581499963127699E-5</v>
      </c>
      <c r="U236" s="8">
        <v>0</v>
      </c>
      <c r="V236" s="20">
        <f t="shared" si="62"/>
        <v>2.4581499963127699E-5</v>
      </c>
      <c r="W236" s="20">
        <f t="shared" si="63"/>
        <v>0</v>
      </c>
    </row>
    <row r="237" spans="1:23" x14ac:dyDescent="0.2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6"/>
      <c r="O237" s="5"/>
      <c r="P237" s="4" t="s">
        <v>230</v>
      </c>
      <c r="Q237" s="5" t="s">
        <v>252</v>
      </c>
      <c r="R237" s="7">
        <v>5824.8524217801396</v>
      </c>
      <c r="S237" s="7">
        <v>0.86902927615541503</v>
      </c>
      <c r="T237" s="5">
        <v>2.4581499963127699E-5</v>
      </c>
      <c r="U237" s="8">
        <v>0</v>
      </c>
      <c r="V237" s="20">
        <f t="shared" si="62"/>
        <v>2.4581499963127699E-5</v>
      </c>
      <c r="W237" s="20">
        <f t="shared" si="63"/>
        <v>0</v>
      </c>
    </row>
    <row r="238" spans="1:23" x14ac:dyDescent="0.2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6"/>
      <c r="O238" s="5"/>
      <c r="P238" s="4" t="s">
        <v>230</v>
      </c>
      <c r="Q238" s="5" t="s">
        <v>253</v>
      </c>
      <c r="R238" s="7">
        <v>5790.0769538194299</v>
      </c>
      <c r="S238" s="7">
        <v>0.89074057316192801</v>
      </c>
      <c r="T238" s="5">
        <v>0</v>
      </c>
      <c r="U238" s="8">
        <v>0</v>
      </c>
      <c r="V238" s="20" t="str">
        <f t="shared" si="62"/>
        <v/>
      </c>
      <c r="W238" s="20">
        <f t="shared" si="63"/>
        <v>0</v>
      </c>
    </row>
    <row r="239" spans="1:23" x14ac:dyDescent="0.2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6"/>
      <c r="O239" s="5"/>
      <c r="P239" s="4" t="s">
        <v>230</v>
      </c>
      <c r="Q239" s="5" t="s">
        <v>254</v>
      </c>
      <c r="R239" s="7">
        <v>5489.7069312486401</v>
      </c>
      <c r="S239" s="7">
        <v>0.86766464205371197</v>
      </c>
      <c r="T239" s="5">
        <v>2.4581499963127699E-5</v>
      </c>
      <c r="U239" s="8">
        <v>0</v>
      </c>
      <c r="V239" s="20">
        <f t="shared" si="62"/>
        <v>2.4581499963127699E-5</v>
      </c>
      <c r="W239" s="20">
        <f t="shared" si="63"/>
        <v>0</v>
      </c>
    </row>
    <row r="240" spans="1:23" x14ac:dyDescent="0.2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6"/>
      <c r="O240" s="5"/>
      <c r="P240" s="4" t="s">
        <v>230</v>
      </c>
      <c r="Q240" s="5" t="s">
        <v>255</v>
      </c>
      <c r="R240" s="7">
        <v>5493.7938222061503</v>
      </c>
      <c r="S240" s="5">
        <v>0.86626048496716901</v>
      </c>
      <c r="T240" s="5">
        <v>0</v>
      </c>
      <c r="U240" s="8">
        <v>0</v>
      </c>
      <c r="V240" s="20" t="str">
        <f t="shared" si="62"/>
        <v/>
      </c>
      <c r="W240" s="20">
        <f t="shared" si="63"/>
        <v>0</v>
      </c>
    </row>
    <row r="241" spans="1:23" ht="17" thickBot="1" x14ac:dyDescent="0.25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7"/>
      <c r="O241" s="10"/>
      <c r="P241" s="9" t="s">
        <v>230</v>
      </c>
      <c r="Q241" s="10" t="s">
        <v>256</v>
      </c>
      <c r="R241" s="11">
        <v>5981.8266679054004</v>
      </c>
      <c r="S241" s="10">
        <v>0.87342438685105805</v>
      </c>
      <c r="T241" s="10">
        <v>0</v>
      </c>
      <c r="U241" s="12">
        <v>0</v>
      </c>
      <c r="V241" s="20" t="str">
        <f t="shared" si="62"/>
        <v/>
      </c>
      <c r="W241" s="20">
        <f t="shared" si="63"/>
        <v>0</v>
      </c>
    </row>
    <row r="242" spans="1:23" x14ac:dyDescent="0.2">
      <c r="A242" s="4">
        <v>9</v>
      </c>
      <c r="B242" s="5">
        <v>0.25</v>
      </c>
      <c r="C242" s="5" t="s">
        <v>16</v>
      </c>
      <c r="D242" s="5">
        <v>0.15</v>
      </c>
      <c r="E242" s="5">
        <f>(D242/B242)*100</f>
        <v>60</v>
      </c>
      <c r="F242" s="5">
        <v>2.81</v>
      </c>
      <c r="G242" s="5">
        <v>1.52</v>
      </c>
      <c r="H242" s="5">
        <v>2.1</v>
      </c>
      <c r="I242" s="5">
        <f t="shared" ref="I242" si="66">AVERAGE(T242:T251)</f>
        <v>6.3026965905459437E-3</v>
      </c>
      <c r="J242" s="5">
        <f t="shared" ref="J242" si="67">AVERAGE(T242:T271)</f>
        <v>7.5416041886875789E-3</v>
      </c>
      <c r="K242" s="5">
        <f t="shared" ref="K242" si="68">AVERAGE(U242:U251)</f>
        <v>9.3409699859885371E-4</v>
      </c>
      <c r="L242" s="5">
        <f t="shared" ref="L242" si="69">AVERAGE(U242:U271)</f>
        <v>1.3200265480199577E-3</v>
      </c>
      <c r="M242" s="5">
        <v>100</v>
      </c>
      <c r="N242" s="6">
        <v>0.8930555555555556</v>
      </c>
      <c r="O242" s="5" t="s">
        <v>257</v>
      </c>
      <c r="P242" s="4" t="s">
        <v>257</v>
      </c>
      <c r="Q242" s="5" t="s">
        <v>257</v>
      </c>
      <c r="R242" s="5">
        <v>5113.5894314300103</v>
      </c>
      <c r="S242" s="7">
        <v>0.68368860748514104</v>
      </c>
      <c r="T242" s="5">
        <v>1.6027137975959199E-2</v>
      </c>
      <c r="U242" s="8">
        <v>9.0951549863572591E-3</v>
      </c>
      <c r="V242" s="20" t="str">
        <f t="shared" si="62"/>
        <v/>
      </c>
      <c r="W242" s="20">
        <f t="shared" si="63"/>
        <v>0</v>
      </c>
    </row>
    <row r="243" spans="1:23" x14ac:dyDescent="0.2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O243" s="22"/>
      <c r="P243" s="4" t="s">
        <v>257</v>
      </c>
      <c r="Q243" s="5" t="s">
        <v>259</v>
      </c>
      <c r="R243" s="7">
        <v>5063.4747045246604</v>
      </c>
      <c r="S243" s="7">
        <v>0.69270673392473003</v>
      </c>
      <c r="T243" s="5">
        <v>5.3341854919987204E-3</v>
      </c>
      <c r="U243" s="8">
        <v>0</v>
      </c>
      <c r="V243" s="20">
        <f t="shared" si="62"/>
        <v>5.3341854919987204E-3</v>
      </c>
      <c r="W243" s="20">
        <f t="shared" si="63"/>
        <v>0</v>
      </c>
    </row>
    <row r="244" spans="1:23" x14ac:dyDescent="0.2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O244" s="22"/>
      <c r="P244" s="4" t="s">
        <v>257</v>
      </c>
      <c r="Q244" s="5" t="s">
        <v>261</v>
      </c>
      <c r="R244" s="7">
        <v>5462.4083212698797</v>
      </c>
      <c r="S244" s="7">
        <v>0.78353558009202995</v>
      </c>
      <c r="T244" s="5">
        <v>7.6202649885696004E-4</v>
      </c>
      <c r="U244" s="8">
        <v>2.4581499963127702E-4</v>
      </c>
      <c r="V244" s="20" t="str">
        <f t="shared" si="62"/>
        <v/>
      </c>
      <c r="W244" s="20">
        <f t="shared" si="63"/>
        <v>0</v>
      </c>
    </row>
    <row r="245" spans="1:23" x14ac:dyDescent="0.2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6"/>
      <c r="O245" s="5"/>
      <c r="P245" s="4" t="s">
        <v>257</v>
      </c>
      <c r="Q245" s="5" t="s">
        <v>262</v>
      </c>
      <c r="R245" s="7">
        <v>4501.3601313655799</v>
      </c>
      <c r="S245" s="7">
        <v>0.64503299699174799</v>
      </c>
      <c r="T245" s="5">
        <v>7.1777979892333E-3</v>
      </c>
      <c r="U245" s="8">
        <v>0</v>
      </c>
      <c r="V245" s="20">
        <f t="shared" si="62"/>
        <v>7.1777979892333E-3</v>
      </c>
      <c r="W245" s="20">
        <f t="shared" si="63"/>
        <v>0</v>
      </c>
    </row>
    <row r="246" spans="1:23" x14ac:dyDescent="0.2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6"/>
      <c r="O246" s="5"/>
      <c r="P246" s="4" t="s">
        <v>257</v>
      </c>
      <c r="Q246" s="5" t="s">
        <v>263</v>
      </c>
      <c r="R246" s="7">
        <v>4270.61945209035</v>
      </c>
      <c r="S246" s="7">
        <v>0.62663132570380897</v>
      </c>
      <c r="T246" s="5">
        <v>8.4560359873159397E-3</v>
      </c>
      <c r="U246" s="8">
        <v>0</v>
      </c>
      <c r="V246" s="20">
        <f t="shared" si="62"/>
        <v>8.4560359873159397E-3</v>
      </c>
      <c r="W246" s="20">
        <f t="shared" si="63"/>
        <v>0</v>
      </c>
    </row>
    <row r="247" spans="1:23" x14ac:dyDescent="0.2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6"/>
      <c r="O247" s="5"/>
      <c r="P247" s="4" t="s">
        <v>257</v>
      </c>
      <c r="Q247" s="5" t="s">
        <v>264</v>
      </c>
      <c r="R247" s="7">
        <v>4929.69893204458</v>
      </c>
      <c r="S247" s="7">
        <v>0.70598418684087005</v>
      </c>
      <c r="T247" s="5">
        <v>3.71180649443229E-3</v>
      </c>
      <c r="U247" s="8">
        <v>0</v>
      </c>
      <c r="V247" s="20">
        <f t="shared" si="62"/>
        <v>3.71180649443229E-3</v>
      </c>
      <c r="W247" s="20">
        <f t="shared" si="63"/>
        <v>0</v>
      </c>
    </row>
    <row r="248" spans="1:23" x14ac:dyDescent="0.2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6"/>
      <c r="O248" s="5"/>
      <c r="P248" s="4" t="s">
        <v>257</v>
      </c>
      <c r="Q248" s="5" t="s">
        <v>265</v>
      </c>
      <c r="R248" s="7">
        <v>4181.7678089441497</v>
      </c>
      <c r="S248" s="5">
        <v>0.62454164219550601</v>
      </c>
      <c r="T248" s="5">
        <v>3.6380619945429E-3</v>
      </c>
      <c r="U248" s="8">
        <v>0</v>
      </c>
      <c r="V248" s="20">
        <f t="shared" si="62"/>
        <v>3.6380619945429E-3</v>
      </c>
      <c r="W248" s="20">
        <f t="shared" si="63"/>
        <v>0</v>
      </c>
    </row>
    <row r="249" spans="1:23" x14ac:dyDescent="0.2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6"/>
      <c r="O249" s="5"/>
      <c r="P249" s="4" t="s">
        <v>257</v>
      </c>
      <c r="Q249" s="5" t="s">
        <v>266</v>
      </c>
      <c r="R249" s="7">
        <v>4587.3299648660404</v>
      </c>
      <c r="S249" s="7">
        <v>0.64677263897051895</v>
      </c>
      <c r="T249" s="5">
        <v>7.5956834886064702E-3</v>
      </c>
      <c r="U249" s="8">
        <v>0</v>
      </c>
      <c r="V249" s="20">
        <f t="shared" si="62"/>
        <v>7.5956834886064702E-3</v>
      </c>
      <c r="W249" s="20">
        <f t="shared" si="63"/>
        <v>0</v>
      </c>
    </row>
    <row r="250" spans="1:23" x14ac:dyDescent="0.2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6"/>
      <c r="O250" s="5"/>
      <c r="P250" s="4" t="s">
        <v>257</v>
      </c>
      <c r="Q250" s="5" t="s">
        <v>267</v>
      </c>
      <c r="R250" s="7">
        <v>5031.6544746678501</v>
      </c>
      <c r="S250" s="7">
        <v>0.71296083281690603</v>
      </c>
      <c r="T250" s="5">
        <v>1.5240529977139201E-3</v>
      </c>
      <c r="U250" s="8">
        <v>0</v>
      </c>
      <c r="V250" s="20">
        <f t="shared" si="62"/>
        <v>1.5240529977139201E-3</v>
      </c>
      <c r="W250" s="20">
        <f t="shared" si="63"/>
        <v>0</v>
      </c>
    </row>
    <row r="251" spans="1:23" ht="17" thickBot="1" x14ac:dyDescent="0.25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6"/>
      <c r="O251" s="5"/>
      <c r="P251" s="9" t="s">
        <v>257</v>
      </c>
      <c r="Q251" s="10" t="s">
        <v>268</v>
      </c>
      <c r="R251" s="11">
        <v>4513.9603727466301</v>
      </c>
      <c r="S251" s="10">
        <v>0.63392869303087995</v>
      </c>
      <c r="T251" s="10">
        <v>8.8001769867997303E-3</v>
      </c>
      <c r="U251" s="12">
        <v>0</v>
      </c>
      <c r="V251" s="20">
        <f t="shared" si="62"/>
        <v>8.8001769867997303E-3</v>
      </c>
      <c r="W251" s="20">
        <f t="shared" si="63"/>
        <v>0</v>
      </c>
    </row>
    <row r="252" spans="1:23" x14ac:dyDescent="0.2">
      <c r="A252" s="4"/>
      <c r="B252" s="5"/>
      <c r="C252" s="5"/>
      <c r="D252" s="5"/>
      <c r="E252" s="5"/>
      <c r="F252" s="5"/>
      <c r="G252" s="5"/>
      <c r="H252" s="5"/>
      <c r="I252" s="5">
        <f t="shared" ref="I252" si="70">AVERAGE(T252:T261)</f>
        <v>1.0803569233794613E-2</v>
      </c>
      <c r="J252" s="5"/>
      <c r="K252" s="5">
        <f t="shared" ref="K252" si="71">AVERAGE(U252:U261)</f>
        <v>3.0259826454610192E-3</v>
      </c>
      <c r="L252" s="5"/>
      <c r="M252" s="5"/>
      <c r="N252" s="6">
        <v>0.89375000000000004</v>
      </c>
      <c r="O252" s="5" t="s">
        <v>258</v>
      </c>
      <c r="P252" s="13" t="s">
        <v>258</v>
      </c>
      <c r="Q252" s="14" t="s">
        <v>258</v>
      </c>
      <c r="R252" s="15">
        <v>5005.8888627777196</v>
      </c>
      <c r="S252" s="15">
        <v>0.67732787713058695</v>
      </c>
      <c r="T252" s="14">
        <v>3.7019738944470297E-2</v>
      </c>
      <c r="U252" s="16">
        <v>2.5122292962316502E-2</v>
      </c>
      <c r="V252" s="20" t="str">
        <f t="shared" si="62"/>
        <v/>
      </c>
      <c r="W252" s="20">
        <f t="shared" si="63"/>
        <v>0</v>
      </c>
    </row>
    <row r="253" spans="1:23" x14ac:dyDescent="0.2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O253" s="22"/>
      <c r="P253" s="4" t="s">
        <v>258</v>
      </c>
      <c r="Q253" s="5" t="s">
        <v>269</v>
      </c>
      <c r="R253" s="7">
        <v>4701.2115442521499</v>
      </c>
      <c r="S253" s="7">
        <v>0.75018168858123602</v>
      </c>
      <c r="T253" s="5">
        <v>4.1788549937317102E-4</v>
      </c>
      <c r="U253" s="8">
        <v>0</v>
      </c>
      <c r="V253" s="20">
        <f t="shared" si="62"/>
        <v>4.1788549937317102E-4</v>
      </c>
      <c r="W253" s="20">
        <f t="shared" si="63"/>
        <v>0</v>
      </c>
    </row>
    <row r="254" spans="1:23" x14ac:dyDescent="0.2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6"/>
      <c r="O254" s="5"/>
      <c r="P254" s="4" t="s">
        <v>258</v>
      </c>
      <c r="Q254" s="5" t="s">
        <v>270</v>
      </c>
      <c r="R254" s="7">
        <v>5512.7975500333996</v>
      </c>
      <c r="S254" s="7">
        <v>0.72379569467503402</v>
      </c>
      <c r="T254" s="5">
        <v>4.6213219930680101E-3</v>
      </c>
      <c r="U254" s="8">
        <v>0</v>
      </c>
      <c r="V254" s="20">
        <f t="shared" si="62"/>
        <v>4.6213219930680101E-3</v>
      </c>
      <c r="W254" s="20">
        <f t="shared" si="63"/>
        <v>0</v>
      </c>
    </row>
    <row r="255" spans="1:23" x14ac:dyDescent="0.2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6"/>
      <c r="O255" s="5"/>
      <c r="P255" s="4" t="s">
        <v>258</v>
      </c>
      <c r="Q255" s="5" t="s">
        <v>271</v>
      </c>
      <c r="R255" s="7">
        <v>4554.3937187539696</v>
      </c>
      <c r="S255" s="7">
        <v>0.62944570245234499</v>
      </c>
      <c r="T255" s="5">
        <v>1.49947149775079E-2</v>
      </c>
      <c r="U255" s="8">
        <v>0</v>
      </c>
      <c r="V255" s="20">
        <f t="shared" si="62"/>
        <v>1.49947149775079E-2</v>
      </c>
      <c r="W255" s="20">
        <f t="shared" si="63"/>
        <v>0</v>
      </c>
    </row>
    <row r="256" spans="1:23" x14ac:dyDescent="0.2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6"/>
      <c r="O256" s="5"/>
      <c r="P256" s="4" t="s">
        <v>258</v>
      </c>
      <c r="Q256" s="5" t="s">
        <v>272</v>
      </c>
      <c r="R256" s="7">
        <v>4669.5718232060899</v>
      </c>
      <c r="S256" s="7">
        <v>0.63345268497809504</v>
      </c>
      <c r="T256" s="5">
        <v>1.21186794818219E-2</v>
      </c>
      <c r="U256" s="8">
        <v>0</v>
      </c>
      <c r="V256" s="20">
        <f t="shared" si="62"/>
        <v>1.21186794818219E-2</v>
      </c>
      <c r="W256" s="20">
        <f t="shared" si="63"/>
        <v>0</v>
      </c>
    </row>
    <row r="257" spans="1:23" x14ac:dyDescent="0.2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6"/>
      <c r="O257" s="5"/>
      <c r="P257" s="4" t="s">
        <v>258</v>
      </c>
      <c r="Q257" s="5" t="s">
        <v>273</v>
      </c>
      <c r="R257" s="7">
        <v>4478.94728772696</v>
      </c>
      <c r="S257" s="7">
        <v>0.695416832538584</v>
      </c>
      <c r="T257" s="5">
        <v>7.1777979892333E-3</v>
      </c>
      <c r="U257" s="8">
        <v>5.1375334922936899E-3</v>
      </c>
      <c r="V257" s="20" t="str">
        <f t="shared" si="62"/>
        <v/>
      </c>
      <c r="W257" s="20">
        <f t="shared" si="63"/>
        <v>0</v>
      </c>
    </row>
    <row r="258" spans="1:23" x14ac:dyDescent="0.2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6"/>
      <c r="O258" s="5"/>
      <c r="P258" s="4" t="s">
        <v>258</v>
      </c>
      <c r="Q258" s="5" t="s">
        <v>274</v>
      </c>
      <c r="R258" s="5">
        <v>4517.2588351023296</v>
      </c>
      <c r="S258" s="5">
        <v>0.61981511592645699</v>
      </c>
      <c r="T258" s="5">
        <v>1.35935694796096E-2</v>
      </c>
      <c r="U258" s="8">
        <v>0</v>
      </c>
      <c r="V258" s="20">
        <f t="shared" si="62"/>
        <v>1.35935694796096E-2</v>
      </c>
      <c r="W258" s="20">
        <f t="shared" si="63"/>
        <v>0</v>
      </c>
    </row>
    <row r="259" spans="1:23" x14ac:dyDescent="0.2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6"/>
      <c r="O259" s="5"/>
      <c r="P259" s="4" t="s">
        <v>258</v>
      </c>
      <c r="Q259" s="5" t="s">
        <v>275</v>
      </c>
      <c r="R259" s="7">
        <v>5363.32473638187</v>
      </c>
      <c r="S259" s="7">
        <v>0.72370931069306199</v>
      </c>
      <c r="T259" s="5">
        <v>3.66264349450603E-3</v>
      </c>
      <c r="U259" s="8">
        <v>0</v>
      </c>
      <c r="V259" s="20">
        <f t="shared" si="62"/>
        <v>3.66264349450603E-3</v>
      </c>
      <c r="W259" s="20">
        <f t="shared" si="63"/>
        <v>0</v>
      </c>
    </row>
    <row r="260" spans="1:23" x14ac:dyDescent="0.2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6"/>
      <c r="O260" s="5"/>
      <c r="P260" s="4" t="s">
        <v>258</v>
      </c>
      <c r="Q260" s="5" t="s">
        <v>276</v>
      </c>
      <c r="R260" s="7">
        <v>4432.0017773649397</v>
      </c>
      <c r="S260" s="7">
        <v>0.61124902371990497</v>
      </c>
      <c r="T260" s="5">
        <v>1.24628204813057E-2</v>
      </c>
      <c r="U260" s="8">
        <v>0</v>
      </c>
      <c r="V260" s="20">
        <f t="shared" si="62"/>
        <v>1.24628204813057E-2</v>
      </c>
      <c r="W260" s="20">
        <f t="shared" si="63"/>
        <v>0</v>
      </c>
    </row>
    <row r="261" spans="1:23" ht="17" thickBot="1" x14ac:dyDescent="0.2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6"/>
      <c r="O261" s="5"/>
      <c r="P261" s="9" t="s">
        <v>258</v>
      </c>
      <c r="Q261" s="10" t="s">
        <v>277</v>
      </c>
      <c r="R261" s="11">
        <v>5558.3613848566702</v>
      </c>
      <c r="S261" s="11">
        <v>0.78708492217651205</v>
      </c>
      <c r="T261" s="10">
        <v>1.9665199970502201E-3</v>
      </c>
      <c r="U261" s="12">
        <v>0</v>
      </c>
      <c r="V261" s="20">
        <f t="shared" si="62"/>
        <v>1.9665199970502201E-3</v>
      </c>
      <c r="W261" s="20">
        <f t="shared" si="63"/>
        <v>0</v>
      </c>
    </row>
    <row r="262" spans="1:23" x14ac:dyDescent="0.2">
      <c r="A262" s="4"/>
      <c r="B262" s="5"/>
      <c r="C262" s="5"/>
      <c r="D262" s="5"/>
      <c r="E262" s="5"/>
      <c r="F262" s="5"/>
      <c r="G262" s="5"/>
      <c r="H262" s="5"/>
      <c r="I262" s="5">
        <f t="shared" ref="I262" si="72">AVERAGE(T262:T271)</f>
        <v>5.5185467417221742E-3</v>
      </c>
      <c r="J262" s="5"/>
      <c r="K262" s="5">
        <f t="shared" ref="K262" si="73">AVERAGE(U262:U271)</f>
        <v>0</v>
      </c>
      <c r="L262" s="5"/>
      <c r="M262" s="5"/>
      <c r="N262" s="6">
        <v>0.89444444444444449</v>
      </c>
      <c r="O262" s="5" t="s">
        <v>260</v>
      </c>
      <c r="P262" s="13" t="s">
        <v>260</v>
      </c>
      <c r="Q262" s="14" t="s">
        <v>260</v>
      </c>
      <c r="R262" s="15">
        <v>5489.4531462363802</v>
      </c>
      <c r="S262" s="15">
        <v>0.74269980459191798</v>
      </c>
      <c r="T262" s="14">
        <v>4.1788549937317098E-3</v>
      </c>
      <c r="U262" s="16">
        <v>0</v>
      </c>
      <c r="V262" s="20">
        <f t="shared" si="62"/>
        <v>4.1788549937317098E-3</v>
      </c>
      <c r="W262" s="20">
        <f t="shared" si="63"/>
        <v>0</v>
      </c>
    </row>
    <row r="263" spans="1:23" x14ac:dyDescent="0.2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6"/>
      <c r="O263" s="5"/>
      <c r="P263" s="4" t="s">
        <v>260</v>
      </c>
      <c r="Q263" s="5" t="s">
        <v>278</v>
      </c>
      <c r="R263" s="7">
        <v>4866.4632466151497</v>
      </c>
      <c r="S263" s="7">
        <v>0.68476410672122301</v>
      </c>
      <c r="T263" s="5">
        <v>5.4079299918881E-3</v>
      </c>
      <c r="U263" s="8">
        <v>0</v>
      </c>
      <c r="V263" s="20">
        <f t="shared" si="62"/>
        <v>5.4079299918881E-3</v>
      </c>
      <c r="W263" s="20">
        <f t="shared" si="63"/>
        <v>0</v>
      </c>
    </row>
    <row r="264" spans="1:23" x14ac:dyDescent="0.2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6"/>
      <c r="O264" s="5"/>
      <c r="P264" s="4" t="s">
        <v>260</v>
      </c>
      <c r="Q264" s="5" t="s">
        <v>279</v>
      </c>
      <c r="R264" s="7">
        <v>5276.10074558018</v>
      </c>
      <c r="S264" s="7">
        <v>0.78589674321511005</v>
      </c>
      <c r="T264" s="5">
        <v>3.6872249944691599E-4</v>
      </c>
      <c r="U264" s="8">
        <v>0</v>
      </c>
      <c r="V264" s="20">
        <f t="shared" si="62"/>
        <v>3.6872249944691599E-4</v>
      </c>
      <c r="W264" s="20">
        <f t="shared" si="63"/>
        <v>0</v>
      </c>
    </row>
    <row r="265" spans="1:23" x14ac:dyDescent="0.2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6"/>
      <c r="O265" s="5"/>
      <c r="P265" s="4" t="s">
        <v>260</v>
      </c>
      <c r="Q265" s="5" t="s">
        <v>280</v>
      </c>
      <c r="R265" s="7">
        <v>4630.2642535001396</v>
      </c>
      <c r="S265" s="7">
        <v>0.65154876787907101</v>
      </c>
      <c r="T265" s="5">
        <v>8.4560359873159397E-3</v>
      </c>
      <c r="U265" s="8">
        <v>0</v>
      </c>
      <c r="V265" s="20">
        <f t="shared" si="62"/>
        <v>8.4560359873159397E-3</v>
      </c>
      <c r="W265" s="20">
        <f t="shared" si="63"/>
        <v>0</v>
      </c>
    </row>
    <row r="266" spans="1:23" x14ac:dyDescent="0.2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6"/>
      <c r="O266" s="5"/>
      <c r="P266" s="4" t="s">
        <v>260</v>
      </c>
      <c r="Q266" s="5" t="s">
        <v>281</v>
      </c>
      <c r="R266" s="5">
        <v>4895.4252736174903</v>
      </c>
      <c r="S266" s="5">
        <v>0.70751409117860298</v>
      </c>
      <c r="T266" s="5">
        <v>1.41097809788353E-2</v>
      </c>
      <c r="U266" s="8">
        <v>0</v>
      </c>
      <c r="V266" s="20">
        <f t="shared" si="62"/>
        <v>1.41097809788353E-2</v>
      </c>
      <c r="W266" s="20">
        <f t="shared" si="63"/>
        <v>0</v>
      </c>
    </row>
    <row r="267" spans="1:23" x14ac:dyDescent="0.2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6"/>
      <c r="O267" s="5"/>
      <c r="P267" s="4" t="s">
        <v>260</v>
      </c>
      <c r="Q267" s="5" t="s">
        <v>282</v>
      </c>
      <c r="R267" s="7">
        <v>4823.7359450432496</v>
      </c>
      <c r="S267" s="7">
        <v>0.70466412647128995</v>
      </c>
      <c r="T267" s="5">
        <v>2.5564759961652799E-3</v>
      </c>
      <c r="U267" s="8">
        <v>0</v>
      </c>
      <c r="V267" s="20">
        <f t="shared" si="62"/>
        <v>2.5564759961652799E-3</v>
      </c>
      <c r="W267" s="20">
        <f t="shared" si="63"/>
        <v>0</v>
      </c>
    </row>
    <row r="268" spans="1:23" x14ac:dyDescent="0.2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6"/>
      <c r="O268" s="5"/>
      <c r="P268" s="4" t="s">
        <v>260</v>
      </c>
      <c r="Q268" s="5" t="s">
        <v>283</v>
      </c>
      <c r="R268" s="7">
        <v>4701.3950228784997</v>
      </c>
      <c r="S268" s="7">
        <v>0.66676071763153999</v>
      </c>
      <c r="T268" s="5">
        <v>5.7766524913350197E-3</v>
      </c>
      <c r="U268" s="8">
        <v>0</v>
      </c>
      <c r="V268" s="20">
        <f t="shared" si="62"/>
        <v>5.7766524913350197E-3</v>
      </c>
      <c r="W268" s="20">
        <f t="shared" si="63"/>
        <v>0</v>
      </c>
    </row>
    <row r="269" spans="1:23" x14ac:dyDescent="0.2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6"/>
      <c r="O269" s="5"/>
      <c r="P269" s="4" t="s">
        <v>260</v>
      </c>
      <c r="Q269" s="5" t="s">
        <v>284</v>
      </c>
      <c r="R269" s="7">
        <v>4811.7361028250298</v>
      </c>
      <c r="S269" s="7">
        <v>0.68164425413787399</v>
      </c>
      <c r="T269" s="5">
        <v>4.8917184926624202E-3</v>
      </c>
      <c r="U269" s="8">
        <v>0</v>
      </c>
      <c r="V269" s="20">
        <f t="shared" si="62"/>
        <v>4.8917184926624202E-3</v>
      </c>
      <c r="W269" s="20">
        <f t="shared" si="63"/>
        <v>0</v>
      </c>
    </row>
    <row r="270" spans="1:23" x14ac:dyDescent="0.2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6"/>
      <c r="O270" s="5"/>
      <c r="P270" s="4" t="s">
        <v>260</v>
      </c>
      <c r="Q270" s="5" t="s">
        <v>285</v>
      </c>
      <c r="R270" s="7">
        <v>4996.0253476800499</v>
      </c>
      <c r="S270" s="5">
        <v>0.70144618138466897</v>
      </c>
      <c r="T270" s="5">
        <v>4.7688109928467797E-3</v>
      </c>
      <c r="U270" s="8">
        <v>0</v>
      </c>
      <c r="V270" s="20">
        <f t="shared" si="62"/>
        <v>4.7688109928467797E-3</v>
      </c>
      <c r="W270" s="20">
        <f t="shared" si="63"/>
        <v>0</v>
      </c>
    </row>
    <row r="271" spans="1:23" ht="17" thickBot="1" x14ac:dyDescent="0.25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7"/>
      <c r="O271" s="10"/>
      <c r="P271" s="9" t="s">
        <v>260</v>
      </c>
      <c r="Q271" s="10" t="s">
        <v>286</v>
      </c>
      <c r="R271" s="11">
        <v>4857.4588286080998</v>
      </c>
      <c r="S271" s="10">
        <v>0.68225835913757904</v>
      </c>
      <c r="T271" s="10">
        <v>4.6704849929942701E-3</v>
      </c>
      <c r="U271" s="12">
        <v>0</v>
      </c>
      <c r="V271" s="20">
        <f t="shared" si="62"/>
        <v>4.6704849929942701E-3</v>
      </c>
      <c r="W271" s="20">
        <f t="shared" si="63"/>
        <v>0</v>
      </c>
    </row>
    <row r="272" spans="1:23" x14ac:dyDescent="0.2">
      <c r="A272" s="4">
        <v>10</v>
      </c>
      <c r="B272" s="5">
        <v>0.15240000000000001</v>
      </c>
      <c r="C272" s="5" t="s">
        <v>16</v>
      </c>
      <c r="D272" s="18">
        <v>9.11E-2</v>
      </c>
      <c r="E272" s="5">
        <f>(D272/B272)*100</f>
        <v>59.776902887139101</v>
      </c>
      <c r="F272" s="5">
        <v>2.04</v>
      </c>
      <c r="G272" s="5">
        <v>0.99</v>
      </c>
      <c r="H272" s="5">
        <v>1.4</v>
      </c>
      <c r="I272" s="5">
        <f t="shared" ref="I272" si="74">AVERAGE(T272:T281)</f>
        <v>4.2882426685676323E-2</v>
      </c>
      <c r="J272" s="5">
        <f t="shared" ref="J272" si="75">AVERAGE(T272:T301)</f>
        <v>4.4654752833017827E-2</v>
      </c>
      <c r="K272" s="5">
        <f t="shared" ref="K272" si="76">AVERAGE(U272:U281)</f>
        <v>4.5549519431675595E-3</v>
      </c>
      <c r="L272" s="5">
        <f t="shared" ref="L272" si="77">AVERAGE(U272:U301)</f>
        <v>2.8194980457707476E-3</v>
      </c>
      <c r="M272" s="5">
        <v>100</v>
      </c>
      <c r="N272" s="6">
        <v>0.92638888888888893</v>
      </c>
      <c r="O272" s="5" t="s">
        <v>287</v>
      </c>
      <c r="P272" s="4" t="s">
        <v>287</v>
      </c>
      <c r="Q272" s="5" t="s">
        <v>287</v>
      </c>
      <c r="R272" s="5">
        <v>4112.1416940929603</v>
      </c>
      <c r="S272" s="7">
        <v>0.49118000045507798</v>
      </c>
      <c r="T272" s="5">
        <v>4.8179739927730302E-2</v>
      </c>
      <c r="U272" s="8">
        <v>0</v>
      </c>
      <c r="V272" s="20">
        <f t="shared" si="62"/>
        <v>4.8179739927730302E-2</v>
      </c>
      <c r="W272" s="20">
        <f t="shared" si="63"/>
        <v>0</v>
      </c>
    </row>
    <row r="273" spans="1:23" x14ac:dyDescent="0.2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O273" s="22"/>
      <c r="P273" s="4" t="s">
        <v>287</v>
      </c>
      <c r="Q273" s="5" t="s">
        <v>289</v>
      </c>
      <c r="R273" s="7">
        <v>4057.0958632871898</v>
      </c>
      <c r="S273" s="7">
        <v>0.48176122324197601</v>
      </c>
      <c r="T273" s="5">
        <v>7.2195865391706193E-2</v>
      </c>
      <c r="U273" s="8">
        <v>2.0574715469137899E-2</v>
      </c>
      <c r="V273" s="20" t="str">
        <f t="shared" si="62"/>
        <v/>
      </c>
      <c r="W273" s="20">
        <f t="shared" si="63"/>
        <v>0</v>
      </c>
    </row>
    <row r="274" spans="1:23" x14ac:dyDescent="0.2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O274" s="22"/>
      <c r="P274" s="4" t="s">
        <v>287</v>
      </c>
      <c r="Q274" s="5" t="s">
        <v>291</v>
      </c>
      <c r="R274" s="7">
        <v>4276.2318649654799</v>
      </c>
      <c r="S274" s="7">
        <v>0.54215202622283098</v>
      </c>
      <c r="T274" s="5">
        <v>3.8002998942995497E-2</v>
      </c>
      <c r="U274" s="8">
        <v>0</v>
      </c>
      <c r="V274" s="20">
        <f t="shared" si="62"/>
        <v>3.8002998942995497E-2</v>
      </c>
      <c r="W274" s="20">
        <f t="shared" si="63"/>
        <v>0</v>
      </c>
    </row>
    <row r="275" spans="1:23" x14ac:dyDescent="0.2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6"/>
      <c r="O275" s="5"/>
      <c r="P275" s="4" t="s">
        <v>287</v>
      </c>
      <c r="Q275" s="5" t="s">
        <v>292</v>
      </c>
      <c r="R275" s="7">
        <v>3245.2626556484902</v>
      </c>
      <c r="S275" s="7">
        <v>0.44993662826303399</v>
      </c>
      <c r="T275" s="5">
        <v>3.6798505444802197E-2</v>
      </c>
      <c r="U275" s="8">
        <v>0</v>
      </c>
      <c r="V275" s="20">
        <f t="shared" si="62"/>
        <v>3.6798505444802197E-2</v>
      </c>
      <c r="W275" s="20">
        <f t="shared" si="63"/>
        <v>0</v>
      </c>
    </row>
    <row r="276" spans="1:23" x14ac:dyDescent="0.2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6"/>
      <c r="O276" s="5"/>
      <c r="P276" s="4" t="s">
        <v>287</v>
      </c>
      <c r="Q276" s="5" t="s">
        <v>293</v>
      </c>
      <c r="R276" s="7">
        <v>4330.5434180419197</v>
      </c>
      <c r="S276" s="7">
        <v>0.56658763889828401</v>
      </c>
      <c r="T276" s="5">
        <v>2.26149799660775E-2</v>
      </c>
      <c r="U276" s="8">
        <v>0</v>
      </c>
      <c r="V276" s="20">
        <f t="shared" si="62"/>
        <v>2.26149799660775E-2</v>
      </c>
      <c r="W276" s="20">
        <f t="shared" si="63"/>
        <v>0</v>
      </c>
    </row>
    <row r="277" spans="1:23" x14ac:dyDescent="0.2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6"/>
      <c r="O277" s="5"/>
      <c r="P277" s="4" t="s">
        <v>287</v>
      </c>
      <c r="Q277" s="5" t="s">
        <v>294</v>
      </c>
      <c r="R277" s="7">
        <v>3952.2942104716799</v>
      </c>
      <c r="S277" s="7">
        <v>0.50166813243574504</v>
      </c>
      <c r="T277" s="5">
        <v>6.2633661906049506E-2</v>
      </c>
      <c r="U277" s="8">
        <v>2.2664142966003699E-2</v>
      </c>
      <c r="V277" s="20" t="str">
        <f t="shared" si="62"/>
        <v/>
      </c>
      <c r="W277" s="20">
        <f t="shared" si="63"/>
        <v>0</v>
      </c>
    </row>
    <row r="278" spans="1:23" x14ac:dyDescent="0.2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6"/>
      <c r="O278" s="5"/>
      <c r="P278" s="4" t="s">
        <v>287</v>
      </c>
      <c r="Q278" s="5" t="s">
        <v>295</v>
      </c>
      <c r="R278" s="7">
        <v>4085.2285217376798</v>
      </c>
      <c r="S278" s="5">
        <v>0.58378350995253103</v>
      </c>
      <c r="T278" s="5">
        <v>1.5560089476659799E-2</v>
      </c>
      <c r="U278" s="8">
        <v>0</v>
      </c>
      <c r="V278" s="20">
        <f t="shared" si="62"/>
        <v>1.5560089476659799E-2</v>
      </c>
      <c r="W278" s="20">
        <f t="shared" si="63"/>
        <v>0</v>
      </c>
    </row>
    <row r="279" spans="1:23" x14ac:dyDescent="0.2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6"/>
      <c r="O279" s="5"/>
      <c r="P279" s="4" t="s">
        <v>287</v>
      </c>
      <c r="Q279" s="5" t="s">
        <v>296</v>
      </c>
      <c r="R279" s="7">
        <v>3622.4393241792</v>
      </c>
      <c r="S279" s="7">
        <v>0.47104902812837701</v>
      </c>
      <c r="T279" s="5">
        <v>4.9728374425407403E-2</v>
      </c>
      <c r="U279" s="8">
        <v>0</v>
      </c>
      <c r="V279" s="20">
        <f t="shared" si="62"/>
        <v>4.9728374425407403E-2</v>
      </c>
      <c r="W279" s="20">
        <f t="shared" si="63"/>
        <v>0</v>
      </c>
    </row>
    <row r="280" spans="1:23" x14ac:dyDescent="0.2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6"/>
      <c r="O280" s="5"/>
      <c r="P280" s="4" t="s">
        <v>287</v>
      </c>
      <c r="Q280" s="5" t="s">
        <v>297</v>
      </c>
      <c r="R280" s="7">
        <v>4431.6273226363201</v>
      </c>
      <c r="S280" s="7">
        <v>0.58625351577255702</v>
      </c>
      <c r="T280" s="5">
        <v>2.4139032963791399E-2</v>
      </c>
      <c r="U280" s="8">
        <v>2.3106609965339998E-3</v>
      </c>
      <c r="V280" s="20" t="str">
        <f t="shared" si="62"/>
        <v/>
      </c>
      <c r="W280" s="20">
        <f t="shared" si="63"/>
        <v>0</v>
      </c>
    </row>
    <row r="281" spans="1:23" ht="17" thickBot="1" x14ac:dyDescent="0.2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6"/>
      <c r="O281" s="5"/>
      <c r="P281" s="9" t="s">
        <v>287</v>
      </c>
      <c r="Q281" s="10" t="s">
        <v>298</v>
      </c>
      <c r="R281" s="11">
        <v>3967.4151757937798</v>
      </c>
      <c r="S281" s="10">
        <v>0.483749906216002</v>
      </c>
      <c r="T281" s="10">
        <v>5.8971018411543397E-2</v>
      </c>
      <c r="U281" s="12">
        <v>0</v>
      </c>
      <c r="V281" s="20">
        <f t="shared" si="62"/>
        <v>5.8971018411543397E-2</v>
      </c>
      <c r="W281" s="20">
        <f t="shared" si="63"/>
        <v>0</v>
      </c>
    </row>
    <row r="282" spans="1:23" x14ac:dyDescent="0.2">
      <c r="A282" s="4"/>
      <c r="B282" s="5"/>
      <c r="C282" s="5"/>
      <c r="D282" s="5"/>
      <c r="E282" s="5"/>
      <c r="F282" s="5"/>
      <c r="G282" s="5"/>
      <c r="H282" s="5"/>
      <c r="I282" s="5">
        <f t="shared" ref="I282" si="78">AVERAGE(T282:T291)</f>
        <v>4.1181386888227867E-2</v>
      </c>
      <c r="J282" s="5"/>
      <c r="K282" s="5">
        <f t="shared" ref="K282" si="79">AVERAGE(U282:U291)</f>
        <v>0</v>
      </c>
      <c r="L282" s="5"/>
      <c r="M282" s="5"/>
      <c r="N282" s="6">
        <v>0.92777777777777781</v>
      </c>
      <c r="O282" s="5" t="s">
        <v>288</v>
      </c>
      <c r="P282" s="13" t="s">
        <v>288</v>
      </c>
      <c r="Q282" s="14" t="s">
        <v>288</v>
      </c>
      <c r="R282" s="15">
        <v>3822.7542695544298</v>
      </c>
      <c r="S282" s="15">
        <v>0.47036262004748403</v>
      </c>
      <c r="T282" s="14">
        <v>5.12770089230844E-2</v>
      </c>
      <c r="U282" s="16">
        <v>0</v>
      </c>
      <c r="V282" s="20">
        <f t="shared" si="62"/>
        <v>5.12770089230844E-2</v>
      </c>
      <c r="W282" s="20">
        <f t="shared" si="63"/>
        <v>0</v>
      </c>
    </row>
    <row r="283" spans="1:23" x14ac:dyDescent="0.2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O283" s="22"/>
      <c r="P283" s="4" t="s">
        <v>288</v>
      </c>
      <c r="Q283" s="5" t="s">
        <v>299</v>
      </c>
      <c r="R283" s="7">
        <v>3806.7357555943499</v>
      </c>
      <c r="S283" s="7">
        <v>0.50527074152824103</v>
      </c>
      <c r="T283" s="5">
        <v>2.72854649590718E-2</v>
      </c>
      <c r="U283" s="8">
        <v>0</v>
      </c>
      <c r="V283" s="20">
        <f t="shared" si="62"/>
        <v>2.72854649590718E-2</v>
      </c>
      <c r="W283" s="20">
        <f t="shared" si="63"/>
        <v>0</v>
      </c>
    </row>
    <row r="284" spans="1:23" x14ac:dyDescent="0.2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6"/>
      <c r="O284" s="5"/>
      <c r="P284" s="4" t="s">
        <v>288</v>
      </c>
      <c r="Q284" s="5" t="s">
        <v>300</v>
      </c>
      <c r="R284" s="7">
        <v>3741.9313504316301</v>
      </c>
      <c r="S284" s="7">
        <v>0.44334803611171097</v>
      </c>
      <c r="T284" s="5">
        <v>6.4575600403136604E-2</v>
      </c>
      <c r="U284" s="8">
        <v>0</v>
      </c>
      <c r="V284" s="20">
        <f t="shared" si="62"/>
        <v>6.4575600403136604E-2</v>
      </c>
      <c r="W284" s="20">
        <f t="shared" si="63"/>
        <v>0</v>
      </c>
    </row>
    <row r="285" spans="1:23" x14ac:dyDescent="0.2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6"/>
      <c r="O285" s="5"/>
      <c r="P285" s="4" t="s">
        <v>288</v>
      </c>
      <c r="Q285" s="5" t="s">
        <v>301</v>
      </c>
      <c r="R285" s="7">
        <v>3696.7596639189701</v>
      </c>
      <c r="S285" s="7">
        <v>0.45245185615363098</v>
      </c>
      <c r="T285" s="5">
        <v>5.33664364199503E-2</v>
      </c>
      <c r="U285" s="8">
        <v>0</v>
      </c>
      <c r="V285" s="20">
        <f t="shared" si="62"/>
        <v>5.33664364199503E-2</v>
      </c>
      <c r="W285" s="20">
        <f t="shared" si="63"/>
        <v>0</v>
      </c>
    </row>
    <row r="286" spans="1:23" x14ac:dyDescent="0.2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6"/>
      <c r="O286" s="5"/>
      <c r="P286" s="4" t="s">
        <v>288</v>
      </c>
      <c r="Q286" s="5" t="s">
        <v>302</v>
      </c>
      <c r="R286" s="7">
        <v>3679.5031066247798</v>
      </c>
      <c r="S286" s="7">
        <v>0.46862259631826397</v>
      </c>
      <c r="T286" s="5">
        <v>3.7953835943069197E-2</v>
      </c>
      <c r="U286" s="8">
        <v>0</v>
      </c>
      <c r="V286" s="20">
        <f t="shared" si="62"/>
        <v>3.7953835943069197E-2</v>
      </c>
      <c r="W286" s="20">
        <f t="shared" si="63"/>
        <v>0</v>
      </c>
    </row>
    <row r="287" spans="1:23" x14ac:dyDescent="0.2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6"/>
      <c r="O287" s="5"/>
      <c r="P287" s="4" t="s">
        <v>288</v>
      </c>
      <c r="Q287" s="5" t="s">
        <v>303</v>
      </c>
      <c r="R287" s="7">
        <v>3844.3850750398101</v>
      </c>
      <c r="S287" s="7">
        <v>0.54311322305018706</v>
      </c>
      <c r="T287" s="5">
        <v>2.3794891964307601E-2</v>
      </c>
      <c r="U287" s="8">
        <v>0</v>
      </c>
      <c r="V287" s="20">
        <f t="shared" si="62"/>
        <v>2.3794891964307601E-2</v>
      </c>
      <c r="W287" s="20">
        <f t="shared" si="63"/>
        <v>0</v>
      </c>
    </row>
    <row r="288" spans="1:23" x14ac:dyDescent="0.2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6"/>
      <c r="O288" s="5"/>
      <c r="P288" s="4" t="s">
        <v>288</v>
      </c>
      <c r="Q288" s="5" t="s">
        <v>304</v>
      </c>
      <c r="R288" s="5">
        <v>3899.9038004088202</v>
      </c>
      <c r="S288" s="5">
        <v>0.48189312634053399</v>
      </c>
      <c r="T288" s="5">
        <v>4.5869078931196301E-2</v>
      </c>
      <c r="U288" s="8">
        <v>0</v>
      </c>
      <c r="V288" s="20">
        <f t="shared" si="62"/>
        <v>4.5869078931196301E-2</v>
      </c>
      <c r="W288" s="20">
        <f t="shared" si="63"/>
        <v>0</v>
      </c>
    </row>
    <row r="289" spans="1:23" x14ac:dyDescent="0.2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6"/>
      <c r="O289" s="5"/>
      <c r="P289" s="4" t="s">
        <v>288</v>
      </c>
      <c r="Q289" s="5" t="s">
        <v>305</v>
      </c>
      <c r="R289" s="7">
        <v>4386.8430164575802</v>
      </c>
      <c r="S289" s="7">
        <v>0.58619636317953405</v>
      </c>
      <c r="T289" s="5">
        <v>1.6027137975959199E-2</v>
      </c>
      <c r="U289" s="8">
        <v>0</v>
      </c>
      <c r="V289" s="20">
        <f t="shared" si="62"/>
        <v>1.6027137975959199E-2</v>
      </c>
      <c r="W289" s="20">
        <f t="shared" si="63"/>
        <v>0</v>
      </c>
    </row>
    <row r="290" spans="1:23" x14ac:dyDescent="0.2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6"/>
      <c r="O290" s="5"/>
      <c r="P290" s="4" t="s">
        <v>288</v>
      </c>
      <c r="Q290" s="5" t="s">
        <v>306</v>
      </c>
      <c r="R290" s="7">
        <v>3616.4685350220602</v>
      </c>
      <c r="S290" s="7">
        <v>0.44867834653508099</v>
      </c>
      <c r="T290" s="5">
        <v>5.7889432413165798E-2</v>
      </c>
      <c r="U290" s="8">
        <v>0</v>
      </c>
      <c r="V290" s="20">
        <f t="shared" si="62"/>
        <v>5.7889432413165798E-2</v>
      </c>
      <c r="W290" s="20">
        <f t="shared" si="63"/>
        <v>0</v>
      </c>
    </row>
    <row r="291" spans="1:23" ht="17" thickBot="1" x14ac:dyDescent="0.2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6"/>
      <c r="O291" s="5"/>
      <c r="P291" s="9" t="s">
        <v>288</v>
      </c>
      <c r="Q291" s="10" t="s">
        <v>307</v>
      </c>
      <c r="R291" s="11">
        <v>4112.5976526833101</v>
      </c>
      <c r="S291" s="11">
        <v>0.52065374283795496</v>
      </c>
      <c r="T291" s="10">
        <v>3.3774980949337501E-2</v>
      </c>
      <c r="U291" s="12">
        <v>0</v>
      </c>
      <c r="V291" s="20">
        <f t="shared" si="62"/>
        <v>3.3774980949337501E-2</v>
      </c>
      <c r="W291" s="20">
        <f t="shared" si="63"/>
        <v>0</v>
      </c>
    </row>
    <row r="292" spans="1:23" x14ac:dyDescent="0.2">
      <c r="A292" s="4"/>
      <c r="B292" s="5"/>
      <c r="C292" s="5"/>
      <c r="D292" s="5"/>
      <c r="E292" s="5"/>
      <c r="F292" s="5"/>
      <c r="G292" s="5"/>
      <c r="H292" s="5"/>
      <c r="I292" s="5">
        <f t="shared" ref="I292" si="80">AVERAGE(T292:T301)</f>
        <v>4.9900444925149293E-2</v>
      </c>
      <c r="J292" s="5"/>
      <c r="K292" s="5">
        <f t="shared" ref="K292" si="81">AVERAGE(U292:U301)</f>
        <v>3.9035421941446837E-3</v>
      </c>
      <c r="L292" s="5"/>
      <c r="M292" s="5"/>
      <c r="N292" s="6">
        <v>0.92847222222222225</v>
      </c>
      <c r="O292" s="5" t="s">
        <v>290</v>
      </c>
      <c r="P292" s="13" t="s">
        <v>290</v>
      </c>
      <c r="Q292" s="14" t="s">
        <v>290</v>
      </c>
      <c r="R292" s="15">
        <v>3599.6062100296599</v>
      </c>
      <c r="S292" s="15">
        <v>0.42041246804229698</v>
      </c>
      <c r="T292" s="14">
        <v>7.4555689388166396E-2</v>
      </c>
      <c r="U292" s="16">
        <v>0</v>
      </c>
      <c r="V292" s="20">
        <f t="shared" si="62"/>
        <v>7.4555689388166396E-2</v>
      </c>
      <c r="W292" s="20">
        <f t="shared" si="63"/>
        <v>0</v>
      </c>
    </row>
    <row r="293" spans="1:23" x14ac:dyDescent="0.2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6"/>
      <c r="O293" s="5"/>
      <c r="P293" s="4" t="s">
        <v>290</v>
      </c>
      <c r="Q293" s="5" t="s">
        <v>308</v>
      </c>
      <c r="R293" s="7">
        <v>3921.82492287994</v>
      </c>
      <c r="S293" s="7">
        <v>0.496983994140545</v>
      </c>
      <c r="T293" s="5">
        <v>3.1513482952729703E-2</v>
      </c>
      <c r="U293" s="8">
        <v>0</v>
      </c>
      <c r="V293" s="20">
        <f t="shared" ref="V293:V356" si="82">IF(AND(U293=0,T293&lt;&gt;0), T293, "")</f>
        <v>3.1513482952729703E-2</v>
      </c>
      <c r="W293" s="20">
        <f t="shared" ref="W293:W356" si="83">IF(U293&gt;T293,1,0)</f>
        <v>0</v>
      </c>
    </row>
    <row r="294" spans="1:23" x14ac:dyDescent="0.2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6"/>
      <c r="O294" s="5"/>
      <c r="P294" s="4" t="s">
        <v>290</v>
      </c>
      <c r="Q294" s="5" t="s">
        <v>309</v>
      </c>
      <c r="R294" s="7">
        <v>3694.7083701854999</v>
      </c>
      <c r="S294" s="7">
        <v>0.50581789199192495</v>
      </c>
      <c r="T294" s="5">
        <v>2.82687249575969E-2</v>
      </c>
      <c r="U294" s="8">
        <v>0</v>
      </c>
      <c r="V294" s="20">
        <f t="shared" si="82"/>
        <v>2.82687249575969E-2</v>
      </c>
      <c r="W294" s="20">
        <f t="shared" si="83"/>
        <v>0</v>
      </c>
    </row>
    <row r="295" spans="1:23" x14ac:dyDescent="0.2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6"/>
      <c r="O295" s="5"/>
      <c r="P295" s="4" t="s">
        <v>290</v>
      </c>
      <c r="Q295" s="5" t="s">
        <v>310</v>
      </c>
      <c r="R295" s="7">
        <v>3907.1994752048199</v>
      </c>
      <c r="S295" s="7">
        <v>0.56215611269149302</v>
      </c>
      <c r="T295" s="5">
        <v>2.2320001966519998E-2</v>
      </c>
      <c r="U295" s="8">
        <v>9.7588554853617095E-3</v>
      </c>
      <c r="V295" s="20" t="str">
        <f t="shared" si="82"/>
        <v/>
      </c>
      <c r="W295" s="20">
        <f t="shared" si="83"/>
        <v>0</v>
      </c>
    </row>
    <row r="296" spans="1:23" x14ac:dyDescent="0.2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6"/>
      <c r="O296" s="5"/>
      <c r="P296" s="4" t="s">
        <v>290</v>
      </c>
      <c r="Q296" s="5" t="s">
        <v>311</v>
      </c>
      <c r="R296" s="5">
        <v>3377.0496951165601</v>
      </c>
      <c r="S296" s="5">
        <v>0.42006587938855899</v>
      </c>
      <c r="T296" s="5">
        <v>7.1556746392664794E-2</v>
      </c>
      <c r="U296" s="8">
        <v>0</v>
      </c>
      <c r="V296" s="20">
        <f t="shared" si="82"/>
        <v>7.1556746392664794E-2</v>
      </c>
      <c r="W296" s="20">
        <f t="shared" si="83"/>
        <v>0</v>
      </c>
    </row>
    <row r="297" spans="1:23" x14ac:dyDescent="0.2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6"/>
      <c r="O297" s="5"/>
      <c r="P297" s="4" t="s">
        <v>290</v>
      </c>
      <c r="Q297" s="5" t="s">
        <v>312</v>
      </c>
      <c r="R297" s="7">
        <v>3577.4610914462401</v>
      </c>
      <c r="S297" s="7">
        <v>0.45286801894801099</v>
      </c>
      <c r="T297" s="5">
        <v>5.1178682923231897E-2</v>
      </c>
      <c r="U297" s="8">
        <v>0</v>
      </c>
      <c r="V297" s="20">
        <f t="shared" si="82"/>
        <v>5.1178682923231897E-2</v>
      </c>
      <c r="W297" s="20">
        <f t="shared" si="83"/>
        <v>0</v>
      </c>
    </row>
    <row r="298" spans="1:23" x14ac:dyDescent="0.2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6"/>
      <c r="O298" s="5"/>
      <c r="P298" s="4" t="s">
        <v>290</v>
      </c>
      <c r="Q298" s="5" t="s">
        <v>313</v>
      </c>
      <c r="R298" s="7">
        <v>3490.9049838309002</v>
      </c>
      <c r="S298" s="7">
        <v>0.45746836631892901</v>
      </c>
      <c r="T298" s="5">
        <v>6.2609080406086301E-2</v>
      </c>
      <c r="U298" s="8">
        <v>2.4286521963570201E-2</v>
      </c>
      <c r="V298" s="20" t="str">
        <f t="shared" si="82"/>
        <v/>
      </c>
      <c r="W298" s="20">
        <f t="shared" si="83"/>
        <v>0</v>
      </c>
    </row>
    <row r="299" spans="1:23" x14ac:dyDescent="0.2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6"/>
      <c r="O299" s="5"/>
      <c r="P299" s="4" t="s">
        <v>290</v>
      </c>
      <c r="Q299" s="5" t="s">
        <v>314</v>
      </c>
      <c r="R299" s="7">
        <v>3839.2100552152501</v>
      </c>
      <c r="S299" s="7">
        <v>0.484270975132504</v>
      </c>
      <c r="T299" s="5">
        <v>4.3435510434846697E-2</v>
      </c>
      <c r="U299" s="8">
        <v>0</v>
      </c>
      <c r="V299" s="20">
        <f t="shared" si="82"/>
        <v>4.3435510434846697E-2</v>
      </c>
      <c r="W299" s="20">
        <f t="shared" si="83"/>
        <v>0</v>
      </c>
    </row>
    <row r="300" spans="1:23" x14ac:dyDescent="0.2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6"/>
      <c r="O300" s="5"/>
      <c r="P300" s="4" t="s">
        <v>290</v>
      </c>
      <c r="Q300" s="5" t="s">
        <v>315</v>
      </c>
      <c r="R300" s="7">
        <v>3361.5315668303601</v>
      </c>
      <c r="S300" s="5">
        <v>0.434856769555032</v>
      </c>
      <c r="T300" s="5">
        <v>5.5013396917479897E-2</v>
      </c>
      <c r="U300" s="8">
        <v>0</v>
      </c>
      <c r="V300" s="20">
        <f t="shared" si="82"/>
        <v>5.5013396917479897E-2</v>
      </c>
      <c r="W300" s="20">
        <f t="shared" si="83"/>
        <v>0</v>
      </c>
    </row>
    <row r="301" spans="1:23" ht="17" thickBot="1" x14ac:dyDescent="0.25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7"/>
      <c r="O301" s="10"/>
      <c r="P301" s="9" t="s">
        <v>290</v>
      </c>
      <c r="Q301" s="10" t="s">
        <v>316</v>
      </c>
      <c r="R301" s="11">
        <v>3871.3005594008901</v>
      </c>
      <c r="S301" s="10">
        <v>0.48002851416122999</v>
      </c>
      <c r="T301" s="10">
        <v>5.8553132912170298E-2</v>
      </c>
      <c r="U301" s="12">
        <v>4.9900444925149298E-3</v>
      </c>
      <c r="V301" s="20" t="str">
        <f t="shared" si="82"/>
        <v/>
      </c>
      <c r="W301" s="20">
        <f t="shared" si="83"/>
        <v>0</v>
      </c>
    </row>
    <row r="302" spans="1:23" x14ac:dyDescent="0.2">
      <c r="A302" s="4">
        <v>11</v>
      </c>
      <c r="B302" s="5">
        <v>0.1013</v>
      </c>
      <c r="C302" s="5" t="s">
        <v>16</v>
      </c>
      <c r="D302" s="18">
        <v>6.1100000000000002E-2</v>
      </c>
      <c r="E302" s="5">
        <f>(D302/B302)*100</f>
        <v>60.315893385982235</v>
      </c>
      <c r="F302" s="5">
        <v>1.1299999999999999</v>
      </c>
      <c r="G302" s="5">
        <v>0.57999999999999996</v>
      </c>
      <c r="H302" s="5">
        <v>0.85</v>
      </c>
      <c r="I302" s="5">
        <f>AVERAGE(T302:T311)</f>
        <v>0.12078120006882784</v>
      </c>
      <c r="J302" s="5">
        <f t="shared" ref="J302" si="84">AVERAGE(T302:T331)</f>
        <v>0.13049171193759534</v>
      </c>
      <c r="K302" s="5">
        <f t="shared" ref="K302" si="85">AVERAGE(U302:U311)</f>
        <v>4.1471448587792795E-2</v>
      </c>
      <c r="L302" s="5">
        <f t="shared" ref="L302" si="86">AVERAGE(U302:U331)</f>
        <v>6.547036700179433E-2</v>
      </c>
      <c r="M302" s="5">
        <v>100</v>
      </c>
      <c r="N302" s="6">
        <v>0.9</v>
      </c>
      <c r="O302" s="5" t="s">
        <v>317</v>
      </c>
      <c r="P302" s="4" t="s">
        <v>317</v>
      </c>
      <c r="Q302" s="5" t="s">
        <v>317</v>
      </c>
      <c r="R302" s="5">
        <v>2860.7962828843301</v>
      </c>
      <c r="S302" s="7">
        <v>0.341868919749301</v>
      </c>
      <c r="T302" s="5">
        <v>0.114574371328138</v>
      </c>
      <c r="U302" s="8">
        <v>1.45276664782085E-2</v>
      </c>
      <c r="V302" s="20" t="str">
        <f t="shared" si="82"/>
        <v/>
      </c>
      <c r="W302" s="20">
        <f t="shared" si="83"/>
        <v>0</v>
      </c>
    </row>
    <row r="303" spans="1:23" x14ac:dyDescent="0.2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O303" s="22"/>
      <c r="P303" s="4" t="s">
        <v>317</v>
      </c>
      <c r="Q303" s="5" t="s">
        <v>319</v>
      </c>
      <c r="R303" s="7">
        <v>3285.5352202191398</v>
      </c>
      <c r="S303" s="7">
        <v>0.385338516096703</v>
      </c>
      <c r="T303" s="5">
        <v>0.110911727833632</v>
      </c>
      <c r="U303" s="8">
        <v>2.6597182960104201E-2</v>
      </c>
      <c r="V303" s="20" t="str">
        <f t="shared" si="82"/>
        <v/>
      </c>
      <c r="W303" s="20">
        <f t="shared" si="83"/>
        <v>0</v>
      </c>
    </row>
    <row r="304" spans="1:23" x14ac:dyDescent="0.2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O304" s="22"/>
      <c r="P304" s="4" t="s">
        <v>317</v>
      </c>
      <c r="Q304" s="5" t="s">
        <v>321</v>
      </c>
      <c r="R304" s="7">
        <v>2608.5521077488702</v>
      </c>
      <c r="S304" s="7">
        <v>0.31682520081844301</v>
      </c>
      <c r="T304" s="5">
        <v>0.121948821317076</v>
      </c>
      <c r="U304" s="8">
        <v>4.4836655932745002E-2</v>
      </c>
      <c r="V304" s="20" t="str">
        <f t="shared" si="82"/>
        <v/>
      </c>
      <c r="W304" s="20">
        <f t="shared" si="83"/>
        <v>0</v>
      </c>
    </row>
    <row r="305" spans="1:23" x14ac:dyDescent="0.2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6"/>
      <c r="O305" s="5"/>
      <c r="P305" s="4" t="s">
        <v>317</v>
      </c>
      <c r="Q305" s="5" t="s">
        <v>322</v>
      </c>
      <c r="R305" s="7">
        <v>2666.50463328665</v>
      </c>
      <c r="S305" s="7">
        <v>0.325833824582906</v>
      </c>
      <c r="T305" s="5">
        <v>0.108920626336619</v>
      </c>
      <c r="U305" s="8">
        <v>1.54371819768442E-2</v>
      </c>
      <c r="V305" s="20" t="str">
        <f t="shared" si="82"/>
        <v/>
      </c>
      <c r="W305" s="20">
        <f t="shared" si="83"/>
        <v>0</v>
      </c>
    </row>
    <row r="306" spans="1:23" x14ac:dyDescent="0.2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6"/>
      <c r="O306" s="5"/>
      <c r="P306" s="4" t="s">
        <v>317</v>
      </c>
      <c r="Q306" s="5" t="s">
        <v>323</v>
      </c>
      <c r="R306" s="7">
        <v>2580.9746029524299</v>
      </c>
      <c r="S306" s="7">
        <v>0.31696914464829901</v>
      </c>
      <c r="T306" s="5">
        <v>0.133428381799857</v>
      </c>
      <c r="U306" s="8">
        <v>4.2280179936579697E-2</v>
      </c>
      <c r="V306" s="20" t="str">
        <f t="shared" si="82"/>
        <v/>
      </c>
      <c r="W306" s="20">
        <f t="shared" si="83"/>
        <v>0</v>
      </c>
    </row>
    <row r="307" spans="1:23" x14ac:dyDescent="0.2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6"/>
      <c r="O307" s="5"/>
      <c r="P307" s="4" t="s">
        <v>317</v>
      </c>
      <c r="Q307" s="5" t="s">
        <v>324</v>
      </c>
      <c r="R307" s="7">
        <v>2500.4940609424898</v>
      </c>
      <c r="S307" s="7">
        <v>0.30348972413113001</v>
      </c>
      <c r="T307" s="5">
        <v>0.135640716796538</v>
      </c>
      <c r="U307" s="8">
        <v>8.5346967871979498E-2</v>
      </c>
      <c r="V307" s="20" t="str">
        <f t="shared" si="82"/>
        <v/>
      </c>
      <c r="W307" s="20">
        <f t="shared" si="83"/>
        <v>0</v>
      </c>
    </row>
    <row r="308" spans="1:23" x14ac:dyDescent="0.2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6"/>
      <c r="O308" s="5"/>
      <c r="P308" s="4" t="s">
        <v>317</v>
      </c>
      <c r="Q308" s="5" t="s">
        <v>325</v>
      </c>
      <c r="R308" s="7">
        <v>2696.0150496943302</v>
      </c>
      <c r="S308" s="5">
        <v>0.31976281893648301</v>
      </c>
      <c r="T308" s="5">
        <v>0.13008529780487199</v>
      </c>
      <c r="U308" s="8">
        <v>6.0814630908777999E-2</v>
      </c>
      <c r="V308" s="20" t="str">
        <f t="shared" si="82"/>
        <v/>
      </c>
      <c r="W308" s="20">
        <f t="shared" si="83"/>
        <v>0</v>
      </c>
    </row>
    <row r="309" spans="1:23" x14ac:dyDescent="0.2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6"/>
      <c r="O309" s="5"/>
      <c r="P309" s="4" t="s">
        <v>317</v>
      </c>
      <c r="Q309" s="5" t="s">
        <v>326</v>
      </c>
      <c r="R309" s="7">
        <v>2427.7022838763801</v>
      </c>
      <c r="S309" s="7">
        <v>0.29487448523725801</v>
      </c>
      <c r="T309" s="5">
        <v>0.13568987979646499</v>
      </c>
      <c r="U309" s="8">
        <v>8.8370492367444195E-2</v>
      </c>
      <c r="V309" s="20" t="str">
        <f t="shared" si="82"/>
        <v/>
      </c>
      <c r="W309" s="20">
        <f t="shared" si="83"/>
        <v>0</v>
      </c>
    </row>
    <row r="310" spans="1:23" x14ac:dyDescent="0.2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6"/>
      <c r="O310" s="5"/>
      <c r="P310" s="4" t="s">
        <v>317</v>
      </c>
      <c r="Q310" s="5" t="s">
        <v>327</v>
      </c>
      <c r="R310" s="7">
        <v>3377.7478718236098</v>
      </c>
      <c r="S310" s="7">
        <v>0.40961697629580202</v>
      </c>
      <c r="T310" s="5">
        <v>9.5744942356382506E-2</v>
      </c>
      <c r="U310" s="8">
        <v>3.71180649443229E-3</v>
      </c>
      <c r="V310" s="20" t="str">
        <f t="shared" si="82"/>
        <v/>
      </c>
      <c r="W310" s="20">
        <f t="shared" si="83"/>
        <v>0</v>
      </c>
    </row>
    <row r="311" spans="1:23" ht="17" thickBot="1" x14ac:dyDescent="0.25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6"/>
      <c r="O311" s="5"/>
      <c r="P311" s="9" t="s">
        <v>317</v>
      </c>
      <c r="Q311" s="10" t="s">
        <v>328</v>
      </c>
      <c r="R311" s="11">
        <v>3147.5007473708301</v>
      </c>
      <c r="S311" s="10">
        <v>0.363325112385398</v>
      </c>
      <c r="T311" s="10">
        <v>0.120867235318699</v>
      </c>
      <c r="U311" s="12">
        <v>3.2791720950812397E-2</v>
      </c>
      <c r="V311" s="20" t="str">
        <f t="shared" si="82"/>
        <v/>
      </c>
      <c r="W311" s="20">
        <f t="shared" si="83"/>
        <v>0</v>
      </c>
    </row>
    <row r="312" spans="1:23" x14ac:dyDescent="0.2">
      <c r="A312" s="4"/>
      <c r="B312" s="5"/>
      <c r="C312" s="5"/>
      <c r="D312" s="5"/>
      <c r="E312" s="5"/>
      <c r="F312" s="5"/>
      <c r="G312" s="5"/>
      <c r="H312" s="5"/>
      <c r="I312" s="5">
        <f>AVERAGE(T312:T321)</f>
        <v>0.1302966987045544</v>
      </c>
      <c r="J312" s="5"/>
      <c r="K312" s="5">
        <f>AVERAGE(U312:U321)</f>
        <v>7.7254738084117786E-2</v>
      </c>
      <c r="L312" s="5"/>
      <c r="M312" s="5"/>
      <c r="N312" s="6">
        <v>0.90138888888888891</v>
      </c>
      <c r="O312" s="5" t="s">
        <v>318</v>
      </c>
      <c r="P312" s="13" t="s">
        <v>318</v>
      </c>
      <c r="Q312" s="14" t="s">
        <v>318</v>
      </c>
      <c r="R312" s="15">
        <v>3472.0227197988102</v>
      </c>
      <c r="S312" s="15">
        <v>0.43372032399969801</v>
      </c>
      <c r="T312" s="14">
        <v>7.6694279884958499E-2</v>
      </c>
      <c r="U312" s="16">
        <v>0</v>
      </c>
      <c r="V312" s="20">
        <f t="shared" si="82"/>
        <v>7.6694279884958499E-2</v>
      </c>
      <c r="W312" s="20">
        <f t="shared" si="83"/>
        <v>0</v>
      </c>
    </row>
    <row r="313" spans="1:23" x14ac:dyDescent="0.2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O313" s="22"/>
      <c r="P313" s="4" t="s">
        <v>318</v>
      </c>
      <c r="Q313" s="5" t="s">
        <v>329</v>
      </c>
      <c r="R313" s="7">
        <v>2684.0794242519501</v>
      </c>
      <c r="S313" s="7">
        <v>0.30964424452174799</v>
      </c>
      <c r="T313" s="5">
        <v>0.144883360782674</v>
      </c>
      <c r="U313" s="8">
        <v>0.106487057840269</v>
      </c>
      <c r="V313" s="20" t="str">
        <f t="shared" si="82"/>
        <v/>
      </c>
      <c r="W313" s="20">
        <f t="shared" si="83"/>
        <v>0</v>
      </c>
    </row>
    <row r="314" spans="1:23" x14ac:dyDescent="0.2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6"/>
      <c r="O314" s="5"/>
      <c r="P314" s="4" t="s">
        <v>318</v>
      </c>
      <c r="Q314" s="5" t="s">
        <v>330</v>
      </c>
      <c r="R314" s="7">
        <v>2534.1053580327898</v>
      </c>
      <c r="S314" s="7">
        <v>0.29766421299929702</v>
      </c>
      <c r="T314" s="5">
        <v>0.15533049826700401</v>
      </c>
      <c r="U314" s="8">
        <v>0.12858582630712101</v>
      </c>
      <c r="V314" s="20" t="str">
        <f t="shared" si="82"/>
        <v/>
      </c>
      <c r="W314" s="20">
        <f t="shared" si="83"/>
        <v>0</v>
      </c>
    </row>
    <row r="315" spans="1:23" x14ac:dyDescent="0.2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6"/>
      <c r="O315" s="5"/>
      <c r="P315" s="4" t="s">
        <v>318</v>
      </c>
      <c r="Q315" s="5" t="s">
        <v>331</v>
      </c>
      <c r="R315" s="7">
        <v>3111.2231647459798</v>
      </c>
      <c r="S315" s="7">
        <v>0.38214423120938501</v>
      </c>
      <c r="T315" s="5">
        <v>9.1885646862171502E-2</v>
      </c>
      <c r="U315" s="8">
        <v>0</v>
      </c>
      <c r="V315" s="20">
        <f t="shared" si="82"/>
        <v>9.1885646862171502E-2</v>
      </c>
      <c r="W315" s="20">
        <f t="shared" si="83"/>
        <v>0</v>
      </c>
    </row>
    <row r="316" spans="1:23" x14ac:dyDescent="0.2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6"/>
      <c r="O316" s="5"/>
      <c r="P316" s="4" t="s">
        <v>318</v>
      </c>
      <c r="Q316" s="5" t="s">
        <v>332</v>
      </c>
      <c r="R316" s="7">
        <v>2667.2507122852498</v>
      </c>
      <c r="S316" s="7">
        <v>0.31182432088349898</v>
      </c>
      <c r="T316" s="5">
        <v>0.13839384479240899</v>
      </c>
      <c r="U316" s="8">
        <v>9.5720360856419398E-2</v>
      </c>
      <c r="V316" s="20" t="str">
        <f t="shared" si="82"/>
        <v/>
      </c>
      <c r="W316" s="20">
        <f t="shared" si="83"/>
        <v>0</v>
      </c>
    </row>
    <row r="317" spans="1:23" x14ac:dyDescent="0.2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6"/>
      <c r="O317" s="5"/>
      <c r="P317" s="4" t="s">
        <v>318</v>
      </c>
      <c r="Q317" s="5" t="s">
        <v>333</v>
      </c>
      <c r="R317" s="7">
        <v>3120.6240144684598</v>
      </c>
      <c r="S317" s="7">
        <v>0.34993918508313099</v>
      </c>
      <c r="T317" s="5">
        <v>0.13888547479167099</v>
      </c>
      <c r="U317" s="8">
        <v>8.0012782379980801E-2</v>
      </c>
      <c r="V317" s="20" t="str">
        <f t="shared" si="82"/>
        <v/>
      </c>
      <c r="W317" s="20">
        <f t="shared" si="83"/>
        <v>0</v>
      </c>
    </row>
    <row r="318" spans="1:23" x14ac:dyDescent="0.2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6"/>
      <c r="O318" s="5"/>
      <c r="P318" s="4" t="s">
        <v>318</v>
      </c>
      <c r="Q318" s="5" t="s">
        <v>334</v>
      </c>
      <c r="R318" s="5">
        <v>2475.58398205823</v>
      </c>
      <c r="S318" s="5">
        <v>0.289058637382553</v>
      </c>
      <c r="T318" s="5">
        <v>0.14793146677810201</v>
      </c>
      <c r="U318" s="8">
        <v>0.117991199823013</v>
      </c>
      <c r="V318" s="20" t="str">
        <f t="shared" si="82"/>
        <v/>
      </c>
      <c r="W318" s="20">
        <f t="shared" si="83"/>
        <v>0</v>
      </c>
    </row>
    <row r="319" spans="1:23" x14ac:dyDescent="0.2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6"/>
      <c r="O319" s="5"/>
      <c r="P319" s="4" t="s">
        <v>318</v>
      </c>
      <c r="Q319" s="5" t="s">
        <v>335</v>
      </c>
      <c r="R319" s="7">
        <v>2372.74231868368</v>
      </c>
      <c r="S319" s="7">
        <v>0.27885499541354603</v>
      </c>
      <c r="T319" s="5">
        <v>0.14719402177920801</v>
      </c>
      <c r="U319" s="8">
        <v>0.11238661783142</v>
      </c>
      <c r="V319" s="20" t="str">
        <f t="shared" si="82"/>
        <v/>
      </c>
      <c r="W319" s="20">
        <f t="shared" si="83"/>
        <v>0</v>
      </c>
    </row>
    <row r="320" spans="1:23" x14ac:dyDescent="0.2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6"/>
      <c r="O320" s="5"/>
      <c r="P320" s="4" t="s">
        <v>318</v>
      </c>
      <c r="Q320" s="5" t="s">
        <v>336</v>
      </c>
      <c r="R320" s="7">
        <v>2724.7736969173102</v>
      </c>
      <c r="S320" s="7">
        <v>0.336234872724616</v>
      </c>
      <c r="T320" s="5">
        <v>0.14289225928566099</v>
      </c>
      <c r="U320" s="8">
        <v>0.104692608342961</v>
      </c>
      <c r="V320" s="20" t="str">
        <f t="shared" si="82"/>
        <v/>
      </c>
      <c r="W320" s="20">
        <f t="shared" si="83"/>
        <v>0</v>
      </c>
    </row>
    <row r="321" spans="1:23" ht="17" thickBot="1" x14ac:dyDescent="0.2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6"/>
      <c r="O321" s="5"/>
      <c r="P321" s="9" t="s">
        <v>318</v>
      </c>
      <c r="Q321" s="10" t="s">
        <v>337</v>
      </c>
      <c r="R321" s="11">
        <v>2884.8990489031498</v>
      </c>
      <c r="S321" s="11">
        <v>0.34462603294101102</v>
      </c>
      <c r="T321" s="10">
        <v>0.11887613382168501</v>
      </c>
      <c r="U321" s="12">
        <v>2.6670927459993599E-2</v>
      </c>
      <c r="V321" s="20" t="str">
        <f t="shared" si="82"/>
        <v/>
      </c>
      <c r="W321" s="20">
        <f t="shared" si="83"/>
        <v>0</v>
      </c>
    </row>
    <row r="322" spans="1:23" x14ac:dyDescent="0.2">
      <c r="A322" s="4"/>
      <c r="B322" s="5"/>
      <c r="C322" s="5"/>
      <c r="D322" s="5"/>
      <c r="E322" s="5"/>
      <c r="F322" s="5"/>
      <c r="G322" s="5"/>
      <c r="H322" s="5"/>
      <c r="I322" s="5">
        <f t="shared" ref="I322" si="87">AVERAGE(T322:T331)</f>
        <v>0.14039723703940374</v>
      </c>
      <c r="J322" s="5"/>
      <c r="K322" s="5">
        <f>AVERAGE(U322:U331)</f>
        <v>7.768491433347241E-2</v>
      </c>
      <c r="L322" s="5"/>
      <c r="M322" s="5"/>
      <c r="N322" s="6">
        <v>0.90208333333333335</v>
      </c>
      <c r="O322" s="5" t="s">
        <v>320</v>
      </c>
      <c r="P322" s="13" t="s">
        <v>320</v>
      </c>
      <c r="Q322" s="14" t="s">
        <v>320</v>
      </c>
      <c r="R322" s="15">
        <v>2976.9344432653802</v>
      </c>
      <c r="S322" s="15">
        <v>0.34918503845870202</v>
      </c>
      <c r="T322" s="14">
        <v>0.139106708291339</v>
      </c>
      <c r="U322" s="16">
        <v>9.3680096359479798E-2</v>
      </c>
      <c r="V322" s="20" t="str">
        <f t="shared" si="82"/>
        <v/>
      </c>
      <c r="W322" s="20">
        <f t="shared" si="83"/>
        <v>0</v>
      </c>
    </row>
    <row r="323" spans="1:23" x14ac:dyDescent="0.2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6"/>
      <c r="O323" s="5"/>
      <c r="P323" s="4" t="s">
        <v>320</v>
      </c>
      <c r="Q323" s="5" t="s">
        <v>338</v>
      </c>
      <c r="R323" s="7">
        <v>2662.77842259923</v>
      </c>
      <c r="S323" s="7">
        <v>0.33610014066320998</v>
      </c>
      <c r="T323" s="5">
        <v>9.7023180354465194E-2</v>
      </c>
      <c r="U323" s="8">
        <v>0</v>
      </c>
      <c r="V323" s="20">
        <f t="shared" si="82"/>
        <v>9.7023180354465194E-2</v>
      </c>
      <c r="W323" s="20">
        <f t="shared" si="83"/>
        <v>0</v>
      </c>
    </row>
    <row r="324" spans="1:23" x14ac:dyDescent="0.2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6"/>
      <c r="O324" s="5"/>
      <c r="P324" s="4" t="s">
        <v>320</v>
      </c>
      <c r="Q324" s="5" t="s">
        <v>339</v>
      </c>
      <c r="R324" s="7">
        <v>2701.8328989083202</v>
      </c>
      <c r="S324" s="7">
        <v>0.324168273897461</v>
      </c>
      <c r="T324" s="5">
        <v>0.14247437378628799</v>
      </c>
      <c r="U324" s="8">
        <v>6.8557803397163206E-2</v>
      </c>
      <c r="V324" s="20" t="str">
        <f t="shared" si="82"/>
        <v/>
      </c>
      <c r="W324" s="20">
        <f t="shared" si="83"/>
        <v>0</v>
      </c>
    </row>
    <row r="325" spans="1:23" x14ac:dyDescent="0.2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6"/>
      <c r="O325" s="5"/>
      <c r="P325" s="4" t="s">
        <v>320</v>
      </c>
      <c r="Q325" s="5" t="s">
        <v>340</v>
      </c>
      <c r="R325" s="7">
        <v>3021.4590891937701</v>
      </c>
      <c r="S325" s="7">
        <v>0.36220031703955402</v>
      </c>
      <c r="T325" s="5">
        <v>0.123030407315454</v>
      </c>
      <c r="U325" s="8">
        <v>5.0392074924411799E-2</v>
      </c>
      <c r="V325" s="20" t="str">
        <f t="shared" si="82"/>
        <v/>
      </c>
      <c r="W325" s="20">
        <f t="shared" si="83"/>
        <v>0</v>
      </c>
    </row>
    <row r="326" spans="1:23" x14ac:dyDescent="0.2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6"/>
      <c r="O326" s="5"/>
      <c r="P326" s="4" t="s">
        <v>320</v>
      </c>
      <c r="Q326" s="5" t="s">
        <v>341</v>
      </c>
      <c r="R326" s="5">
        <v>2887.6409810984101</v>
      </c>
      <c r="S326" s="5">
        <v>0.35420817942809402</v>
      </c>
      <c r="T326" s="5">
        <v>0.113615692829576</v>
      </c>
      <c r="U326" s="8">
        <v>3.3922469949116199E-3</v>
      </c>
      <c r="V326" s="20" t="str">
        <f t="shared" si="82"/>
        <v/>
      </c>
      <c r="W326" s="20">
        <f t="shared" si="83"/>
        <v>0</v>
      </c>
    </row>
    <row r="327" spans="1:23" x14ac:dyDescent="0.2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6"/>
      <c r="O327" s="5"/>
      <c r="P327" s="4" t="s">
        <v>320</v>
      </c>
      <c r="Q327" s="5" t="s">
        <v>342</v>
      </c>
      <c r="R327" s="7">
        <v>2032.2865163103199</v>
      </c>
      <c r="S327" s="7">
        <v>0.24828192051235101</v>
      </c>
      <c r="T327" s="5">
        <v>0.22912416115631301</v>
      </c>
      <c r="U327" s="8">
        <v>0.239448391140827</v>
      </c>
      <c r="V327" s="20" t="str">
        <f t="shared" si="82"/>
        <v/>
      </c>
      <c r="W327" s="20">
        <f t="shared" si="83"/>
        <v>1</v>
      </c>
    </row>
    <row r="328" spans="1:23" x14ac:dyDescent="0.2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6"/>
      <c r="O328" s="5"/>
      <c r="P328" s="4" t="s">
        <v>320</v>
      </c>
      <c r="Q328" s="5" t="s">
        <v>343</v>
      </c>
      <c r="R328" s="7">
        <v>2495.0882145135602</v>
      </c>
      <c r="S328" s="7">
        <v>0.28917251552843798</v>
      </c>
      <c r="T328" s="5">
        <v>0.160418868759371</v>
      </c>
      <c r="U328" s="8">
        <v>0.14023745728964301</v>
      </c>
      <c r="V328" s="20" t="str">
        <f t="shared" si="82"/>
        <v/>
      </c>
      <c r="W328" s="20">
        <f t="shared" si="83"/>
        <v>0</v>
      </c>
    </row>
    <row r="329" spans="1:23" x14ac:dyDescent="0.2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6"/>
      <c r="O329" s="5"/>
      <c r="P329" s="4" t="s">
        <v>320</v>
      </c>
      <c r="Q329" s="5" t="s">
        <v>344</v>
      </c>
      <c r="R329" s="7">
        <v>2934.5626826375201</v>
      </c>
      <c r="S329" s="7">
        <v>0.333553861757312</v>
      </c>
      <c r="T329" s="5">
        <v>0.16240997025638501</v>
      </c>
      <c r="U329" s="8">
        <v>0.125980187311029</v>
      </c>
      <c r="V329" s="20" t="str">
        <f t="shared" si="82"/>
        <v/>
      </c>
      <c r="W329" s="20">
        <f t="shared" si="83"/>
        <v>0</v>
      </c>
    </row>
    <row r="330" spans="1:23" x14ac:dyDescent="0.2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6"/>
      <c r="O330" s="5"/>
      <c r="P330" s="4" t="s">
        <v>320</v>
      </c>
      <c r="Q330" s="5" t="s">
        <v>345</v>
      </c>
      <c r="R330" s="7">
        <v>3001.5406163778898</v>
      </c>
      <c r="S330" s="5">
        <v>0.35407101173147199</v>
      </c>
      <c r="T330" s="5">
        <v>0.122219217816671</v>
      </c>
      <c r="U330" s="8">
        <v>5.2088198421867703E-2</v>
      </c>
      <c r="V330" s="20" t="str">
        <f t="shared" si="82"/>
        <v/>
      </c>
      <c r="W330" s="20">
        <f t="shared" si="83"/>
        <v>0</v>
      </c>
    </row>
    <row r="331" spans="1:23" ht="17" thickBot="1" x14ac:dyDescent="0.25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7"/>
      <c r="O331" s="10"/>
      <c r="P331" s="9" t="s">
        <v>320</v>
      </c>
      <c r="Q331" s="10" t="s">
        <v>346</v>
      </c>
      <c r="R331" s="11">
        <v>2851.2470131028799</v>
      </c>
      <c r="S331" s="10">
        <v>0.333579391567846</v>
      </c>
      <c r="T331" s="10">
        <v>0.114549789828175</v>
      </c>
      <c r="U331" s="12">
        <v>3.0726874953909602E-3</v>
      </c>
      <c r="V331" s="20" t="str">
        <f t="shared" si="82"/>
        <v/>
      </c>
      <c r="W331" s="20">
        <f t="shared" si="83"/>
        <v>0</v>
      </c>
    </row>
    <row r="332" spans="1:23" x14ac:dyDescent="0.2">
      <c r="A332" s="4">
        <v>12</v>
      </c>
      <c r="B332" s="5">
        <v>5.0799999999999998E-2</v>
      </c>
      <c r="C332" s="5" t="s">
        <v>16</v>
      </c>
      <c r="D332" s="18">
        <v>3.1099999999999999E-2</v>
      </c>
      <c r="E332" s="5">
        <f>(D332/B332)*100</f>
        <v>61.220472440944881</v>
      </c>
      <c r="F332" s="5">
        <v>0.61</v>
      </c>
      <c r="G332" s="5">
        <v>0.33</v>
      </c>
      <c r="H332" s="5">
        <v>0.45</v>
      </c>
      <c r="I332" s="5">
        <f t="shared" ref="I332" si="88">AVERAGE(T332:T341)</f>
        <v>0.28277820112583235</v>
      </c>
      <c r="J332" s="5">
        <f t="shared" ref="J332" si="89">AVERAGE(T332:T361)</f>
        <v>0.28044459739599936</v>
      </c>
      <c r="K332" s="5">
        <f t="shared" ref="K332" si="90">AVERAGE(U332:U341)</f>
        <v>0.29201838696197202</v>
      </c>
      <c r="L332" s="5">
        <f t="shared" ref="L332" si="91">AVERAGE(U332:U361)</f>
        <v>0.28927263341609061</v>
      </c>
      <c r="M332" s="5">
        <v>100</v>
      </c>
      <c r="N332" s="6">
        <v>0.90625</v>
      </c>
      <c r="O332" s="5" t="s">
        <v>347</v>
      </c>
      <c r="P332" s="4" t="s">
        <v>347</v>
      </c>
      <c r="Q332" s="5" t="s">
        <v>347</v>
      </c>
      <c r="R332" s="5">
        <v>1218.1605079429501</v>
      </c>
      <c r="S332" s="7">
        <v>0.16048313508414999</v>
      </c>
      <c r="T332" s="5">
        <v>0.30714584203928103</v>
      </c>
      <c r="U332" s="8">
        <v>0.31833042452250399</v>
      </c>
      <c r="V332" s="20" t="str">
        <f t="shared" si="82"/>
        <v/>
      </c>
      <c r="W332" s="20">
        <f t="shared" si="83"/>
        <v>1</v>
      </c>
    </row>
    <row r="333" spans="1:23" x14ac:dyDescent="0.2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O333" s="22"/>
      <c r="P333" s="4" t="s">
        <v>347</v>
      </c>
      <c r="Q333" s="5" t="s">
        <v>349</v>
      </c>
      <c r="R333" s="7">
        <v>1064.9149552700201</v>
      </c>
      <c r="S333" s="7">
        <v>0.14308653235476601</v>
      </c>
      <c r="T333" s="5">
        <v>0.32442663651336001</v>
      </c>
      <c r="U333" s="8">
        <v>0.33234187950148703</v>
      </c>
      <c r="V333" s="20" t="str">
        <f t="shared" si="82"/>
        <v/>
      </c>
      <c r="W333" s="20">
        <f t="shared" si="83"/>
        <v>1</v>
      </c>
    </row>
    <row r="334" spans="1:23" x14ac:dyDescent="0.2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O334" s="22"/>
      <c r="P334" s="4" t="s">
        <v>347</v>
      </c>
      <c r="Q334" s="5" t="s">
        <v>351</v>
      </c>
      <c r="R334" s="7">
        <v>1411.04718439929</v>
      </c>
      <c r="S334" s="7">
        <v>0.18177713662278999</v>
      </c>
      <c r="T334" s="5">
        <v>0.267913768098129</v>
      </c>
      <c r="U334" s="8">
        <v>0.27516531058725202</v>
      </c>
      <c r="V334" s="20" t="str">
        <f t="shared" si="82"/>
        <v/>
      </c>
      <c r="W334" s="20">
        <f t="shared" si="83"/>
        <v>1</v>
      </c>
    </row>
    <row r="335" spans="1:23" x14ac:dyDescent="0.2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6"/>
      <c r="O335" s="5"/>
      <c r="P335" s="4" t="s">
        <v>347</v>
      </c>
      <c r="Q335" s="5" t="s">
        <v>352</v>
      </c>
      <c r="R335" s="7">
        <v>1485.53330203167</v>
      </c>
      <c r="S335" s="7">
        <v>0.193024835831691</v>
      </c>
      <c r="T335" s="5">
        <v>0.27922125808116799</v>
      </c>
      <c r="U335" s="8">
        <v>0.287628131068557</v>
      </c>
      <c r="V335" s="20" t="str">
        <f t="shared" si="82"/>
        <v/>
      </c>
      <c r="W335" s="20">
        <f t="shared" si="83"/>
        <v>1</v>
      </c>
    </row>
    <row r="336" spans="1:23" x14ac:dyDescent="0.2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6"/>
      <c r="O336" s="5"/>
      <c r="P336" s="4" t="s">
        <v>347</v>
      </c>
      <c r="Q336" s="5" t="s">
        <v>353</v>
      </c>
      <c r="R336" s="7">
        <v>1361.2778648199001</v>
      </c>
      <c r="S336" s="7">
        <v>0.17749009835594101</v>
      </c>
      <c r="T336" s="5">
        <v>0.307342494038986</v>
      </c>
      <c r="U336" s="8">
        <v>0.31525773702711302</v>
      </c>
      <c r="V336" s="20" t="str">
        <f t="shared" si="82"/>
        <v/>
      </c>
      <c r="W336" s="20">
        <f t="shared" si="83"/>
        <v>1</v>
      </c>
    </row>
    <row r="337" spans="1:23" x14ac:dyDescent="0.2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6"/>
      <c r="O337" s="5"/>
      <c r="P337" s="4" t="s">
        <v>347</v>
      </c>
      <c r="Q337" s="5" t="s">
        <v>354</v>
      </c>
      <c r="R337" s="7">
        <v>1976.9264351101799</v>
      </c>
      <c r="S337" s="7">
        <v>0.23846072329686399</v>
      </c>
      <c r="T337" s="5">
        <v>0.23357341264963899</v>
      </c>
      <c r="U337" s="8">
        <v>0.24355350163466899</v>
      </c>
      <c r="V337" s="20" t="str">
        <f t="shared" si="82"/>
        <v/>
      </c>
      <c r="W337" s="20">
        <f t="shared" si="83"/>
        <v>1</v>
      </c>
    </row>
    <row r="338" spans="1:23" x14ac:dyDescent="0.2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6"/>
      <c r="O338" s="5"/>
      <c r="P338" s="4" t="s">
        <v>347</v>
      </c>
      <c r="Q338" s="5" t="s">
        <v>355</v>
      </c>
      <c r="R338" s="7">
        <v>1501.70482633346</v>
      </c>
      <c r="S338" s="5">
        <v>0.18799906125809801</v>
      </c>
      <c r="T338" s="5">
        <v>0.25766328261350502</v>
      </c>
      <c r="U338" s="8">
        <v>0.26754504559868197</v>
      </c>
      <c r="V338" s="20" t="str">
        <f t="shared" si="82"/>
        <v/>
      </c>
      <c r="W338" s="20">
        <f t="shared" si="83"/>
        <v>1</v>
      </c>
    </row>
    <row r="339" spans="1:23" x14ac:dyDescent="0.2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6"/>
      <c r="O339" s="5"/>
      <c r="P339" s="4" t="s">
        <v>347</v>
      </c>
      <c r="Q339" s="5" t="s">
        <v>356</v>
      </c>
      <c r="R339" s="7">
        <v>1510.34956779918</v>
      </c>
      <c r="S339" s="7">
        <v>0.19177610149194299</v>
      </c>
      <c r="T339" s="5">
        <v>0.25326319412010501</v>
      </c>
      <c r="U339" s="8">
        <v>0.26314495710528202</v>
      </c>
      <c r="V339" s="20" t="str">
        <f t="shared" si="82"/>
        <v/>
      </c>
      <c r="W339" s="20">
        <f t="shared" si="83"/>
        <v>1</v>
      </c>
    </row>
    <row r="340" spans="1:23" x14ac:dyDescent="0.2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6"/>
      <c r="O340" s="5"/>
      <c r="P340" s="4" t="s">
        <v>347</v>
      </c>
      <c r="Q340" s="5" t="s">
        <v>357</v>
      </c>
      <c r="R340" s="7">
        <v>1378.96220821157</v>
      </c>
      <c r="S340" s="7">
        <v>0.16328741680633199</v>
      </c>
      <c r="T340" s="5">
        <v>0.29618249305572603</v>
      </c>
      <c r="U340" s="8">
        <v>0.30626090804060802</v>
      </c>
      <c r="V340" s="20" t="str">
        <f t="shared" si="82"/>
        <v/>
      </c>
      <c r="W340" s="20">
        <f t="shared" si="83"/>
        <v>1</v>
      </c>
    </row>
    <row r="341" spans="1:23" ht="17" thickBot="1" x14ac:dyDescent="0.2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6"/>
      <c r="O341" s="5"/>
      <c r="P341" s="9" t="s">
        <v>347</v>
      </c>
      <c r="Q341" s="10" t="s">
        <v>358</v>
      </c>
      <c r="R341" s="11">
        <v>1483.1439110516999</v>
      </c>
      <c r="S341" s="10">
        <v>0.190861796760046</v>
      </c>
      <c r="T341" s="10">
        <v>0.301049630048425</v>
      </c>
      <c r="U341" s="12">
        <v>0.31095597453356599</v>
      </c>
      <c r="V341" s="20" t="str">
        <f t="shared" si="82"/>
        <v/>
      </c>
      <c r="W341" s="20">
        <f t="shared" si="83"/>
        <v>1</v>
      </c>
    </row>
    <row r="342" spans="1:23" x14ac:dyDescent="0.2">
      <c r="A342" s="4"/>
      <c r="B342" s="5"/>
      <c r="C342" s="5"/>
      <c r="D342" s="5"/>
      <c r="E342" s="5"/>
      <c r="F342" s="5"/>
      <c r="G342" s="5"/>
      <c r="H342" s="5"/>
      <c r="I342" s="5">
        <f t="shared" ref="I342" si="92">AVERAGE(T342:T351)</f>
        <v>0.28577468597133748</v>
      </c>
      <c r="J342" s="5"/>
      <c r="K342" s="5">
        <f>AVERAGE(U342:U351)</f>
        <v>0.29413977040878986</v>
      </c>
      <c r="L342" s="5"/>
      <c r="M342" s="5"/>
      <c r="N342" s="6">
        <v>0.90694444444444444</v>
      </c>
      <c r="O342" s="5" t="s">
        <v>348</v>
      </c>
      <c r="P342" s="13" t="s">
        <v>348</v>
      </c>
      <c r="Q342" s="14" t="s">
        <v>348</v>
      </c>
      <c r="R342" s="15">
        <v>1399.32855478445</v>
      </c>
      <c r="S342" s="15">
        <v>0.17977274936974699</v>
      </c>
      <c r="T342" s="14">
        <v>0.26410363560384398</v>
      </c>
      <c r="U342" s="16">
        <v>0.27196971559204502</v>
      </c>
      <c r="V342" s="20" t="str">
        <f t="shared" si="82"/>
        <v/>
      </c>
      <c r="W342" s="20">
        <f t="shared" si="83"/>
        <v>1</v>
      </c>
    </row>
    <row r="343" spans="1:23" x14ac:dyDescent="0.2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O343" s="22"/>
      <c r="P343" s="4" t="s">
        <v>348</v>
      </c>
      <c r="Q343" s="5" t="s">
        <v>359</v>
      </c>
      <c r="R343" s="7">
        <v>1731.7105684420901</v>
      </c>
      <c r="S343" s="7">
        <v>0.21338683616916199</v>
      </c>
      <c r="T343" s="5">
        <v>0.23190187065214701</v>
      </c>
      <c r="U343" s="8">
        <v>0.23942380964086399</v>
      </c>
      <c r="V343" s="20" t="str">
        <f t="shared" si="82"/>
        <v/>
      </c>
      <c r="W343" s="20">
        <f t="shared" si="83"/>
        <v>1</v>
      </c>
    </row>
    <row r="344" spans="1:23" x14ac:dyDescent="0.2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6"/>
      <c r="O344" s="5"/>
      <c r="P344" s="4" t="s">
        <v>348</v>
      </c>
      <c r="Q344" s="5" t="s">
        <v>360</v>
      </c>
      <c r="R344" s="7">
        <v>1646.7688735628401</v>
      </c>
      <c r="S344" s="7">
        <v>0.20003978276773399</v>
      </c>
      <c r="T344" s="5">
        <v>0.27504240308743599</v>
      </c>
      <c r="U344" s="8">
        <v>0.28494874757257599</v>
      </c>
      <c r="V344" s="20" t="str">
        <f t="shared" si="82"/>
        <v/>
      </c>
      <c r="W344" s="20">
        <f t="shared" si="83"/>
        <v>1</v>
      </c>
    </row>
    <row r="345" spans="1:23" x14ac:dyDescent="0.2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6"/>
      <c r="O345" s="5"/>
      <c r="P345" s="4" t="s">
        <v>348</v>
      </c>
      <c r="Q345" s="5" t="s">
        <v>361</v>
      </c>
      <c r="R345" s="7">
        <v>1114.1874576200601</v>
      </c>
      <c r="S345" s="7">
        <v>0.14959932542595</v>
      </c>
      <c r="T345" s="5">
        <v>0.30640839704038703</v>
      </c>
      <c r="U345" s="8">
        <v>0.31471694402792399</v>
      </c>
      <c r="V345" s="20" t="str">
        <f t="shared" si="82"/>
        <v/>
      </c>
      <c r="W345" s="20">
        <f t="shared" si="83"/>
        <v>1</v>
      </c>
    </row>
    <row r="346" spans="1:23" x14ac:dyDescent="0.2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6"/>
      <c r="O346" s="5"/>
      <c r="P346" s="4" t="s">
        <v>348</v>
      </c>
      <c r="Q346" s="5" t="s">
        <v>362</v>
      </c>
      <c r="R346" s="7">
        <v>1520.6228707330099</v>
      </c>
      <c r="S346" s="7">
        <v>0.191726797578682</v>
      </c>
      <c r="T346" s="5">
        <v>0.27877879108183101</v>
      </c>
      <c r="U346" s="8">
        <v>0.291389100562916</v>
      </c>
      <c r="V346" s="20" t="str">
        <f t="shared" si="82"/>
        <v/>
      </c>
      <c r="W346" s="20">
        <f t="shared" si="83"/>
        <v>1</v>
      </c>
    </row>
    <row r="347" spans="1:23" x14ac:dyDescent="0.2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6"/>
      <c r="O347" s="5"/>
      <c r="P347" s="4" t="s">
        <v>348</v>
      </c>
      <c r="Q347" s="5" t="s">
        <v>363</v>
      </c>
      <c r="R347" s="7">
        <v>1792.3930327041401</v>
      </c>
      <c r="S347" s="7">
        <v>0.22282039703402101</v>
      </c>
      <c r="T347" s="5">
        <v>0.28440795457338802</v>
      </c>
      <c r="U347" s="8">
        <v>0.29195447506206801</v>
      </c>
      <c r="V347" s="20" t="str">
        <f t="shared" si="82"/>
        <v/>
      </c>
      <c r="W347" s="20">
        <f t="shared" si="83"/>
        <v>1</v>
      </c>
    </row>
    <row r="348" spans="1:23" x14ac:dyDescent="0.2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6"/>
      <c r="O348" s="5"/>
      <c r="P348" s="4" t="s">
        <v>348</v>
      </c>
      <c r="Q348" s="5" t="s">
        <v>364</v>
      </c>
      <c r="R348" s="5">
        <v>500.509132248708</v>
      </c>
      <c r="S348" s="5">
        <v>6.4931944470604894E-2</v>
      </c>
      <c r="T348" s="5">
        <v>0.36921412944617799</v>
      </c>
      <c r="U348" s="8">
        <v>0.37641650893537498</v>
      </c>
      <c r="V348" s="20" t="str">
        <f t="shared" si="82"/>
        <v/>
      </c>
      <c r="W348" s="20">
        <f t="shared" si="83"/>
        <v>1</v>
      </c>
    </row>
    <row r="349" spans="1:23" x14ac:dyDescent="0.2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6"/>
      <c r="O349" s="5"/>
      <c r="P349" s="4" t="s">
        <v>348</v>
      </c>
      <c r="Q349" s="5" t="s">
        <v>365</v>
      </c>
      <c r="R349" s="7">
        <v>1691.49414459526</v>
      </c>
      <c r="S349" s="7">
        <v>0.210094579397232</v>
      </c>
      <c r="T349" s="5">
        <v>0.246036233130945</v>
      </c>
      <c r="U349" s="8">
        <v>0.25242742312135802</v>
      </c>
      <c r="V349" s="20" t="str">
        <f t="shared" si="82"/>
        <v/>
      </c>
      <c r="W349" s="20">
        <f t="shared" si="83"/>
        <v>1</v>
      </c>
    </row>
    <row r="350" spans="1:23" x14ac:dyDescent="0.2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6"/>
      <c r="O350" s="5"/>
      <c r="P350" s="4" t="s">
        <v>348</v>
      </c>
      <c r="Q350" s="5" t="s">
        <v>366</v>
      </c>
      <c r="R350" s="7">
        <v>1287.8091296431001</v>
      </c>
      <c r="S350" s="7">
        <v>0.16678916179786299</v>
      </c>
      <c r="T350" s="5">
        <v>0.27681227108478101</v>
      </c>
      <c r="U350" s="8">
        <v>0.28499791057250301</v>
      </c>
      <c r="V350" s="20" t="str">
        <f t="shared" si="82"/>
        <v/>
      </c>
      <c r="W350" s="20">
        <f t="shared" si="83"/>
        <v>1</v>
      </c>
    </row>
    <row r="351" spans="1:23" ht="17" thickBot="1" x14ac:dyDescent="0.2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6"/>
      <c r="O351" s="5"/>
      <c r="P351" s="9" t="s">
        <v>348</v>
      </c>
      <c r="Q351" s="10" t="s">
        <v>367</v>
      </c>
      <c r="R351" s="11">
        <v>1214.66954636427</v>
      </c>
      <c r="S351" s="11">
        <v>0.16129954013739001</v>
      </c>
      <c r="T351" s="10">
        <v>0.32504117401243798</v>
      </c>
      <c r="U351" s="12">
        <v>0.33315306900026997</v>
      </c>
      <c r="V351" s="20" t="str">
        <f t="shared" si="82"/>
        <v/>
      </c>
      <c r="W351" s="20">
        <f t="shared" si="83"/>
        <v>1</v>
      </c>
    </row>
    <row r="352" spans="1:23" x14ac:dyDescent="0.2">
      <c r="A352" s="4"/>
      <c r="B352" s="5"/>
      <c r="C352" s="5"/>
      <c r="D352" s="5"/>
      <c r="E352" s="5"/>
      <c r="F352" s="5"/>
      <c r="G352" s="5"/>
      <c r="H352" s="5"/>
      <c r="I352" s="5">
        <f>AVERAGE(T352:T361)</f>
        <v>0.27278090509082809</v>
      </c>
      <c r="J352" s="5"/>
      <c r="K352" s="5">
        <f t="shared" ref="K352" si="93">AVERAGE(U352:U361)</f>
        <v>0.28165974287750994</v>
      </c>
      <c r="L352" s="5"/>
      <c r="M352" s="5"/>
      <c r="N352" s="6">
        <v>0.90763888888888888</v>
      </c>
      <c r="O352" s="5" t="s">
        <v>350</v>
      </c>
      <c r="P352" s="13" t="s">
        <v>350</v>
      </c>
      <c r="Q352" s="14" t="s">
        <v>350</v>
      </c>
      <c r="R352" s="15">
        <v>1823.0616537548501</v>
      </c>
      <c r="S352" s="15">
        <v>0.23474573823115399</v>
      </c>
      <c r="T352" s="14">
        <v>0.24448759863326799</v>
      </c>
      <c r="U352" s="16">
        <v>0.25252574912121101</v>
      </c>
      <c r="V352" s="20" t="str">
        <f t="shared" si="82"/>
        <v/>
      </c>
      <c r="W352" s="20">
        <f t="shared" si="83"/>
        <v>1</v>
      </c>
    </row>
    <row r="353" spans="1:23" x14ac:dyDescent="0.2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6"/>
      <c r="O353" s="5"/>
      <c r="P353" s="4" t="s">
        <v>350</v>
      </c>
      <c r="Q353" s="5" t="s">
        <v>368</v>
      </c>
      <c r="R353" s="7">
        <v>1249.23076348942</v>
      </c>
      <c r="S353" s="7">
        <v>0.16555513461303001</v>
      </c>
      <c r="T353" s="5">
        <v>0.29972222905041601</v>
      </c>
      <c r="U353" s="8">
        <v>0.30894029153658897</v>
      </c>
      <c r="V353" s="20" t="str">
        <f t="shared" si="82"/>
        <v/>
      </c>
      <c r="W353" s="20">
        <f t="shared" si="83"/>
        <v>1</v>
      </c>
    </row>
    <row r="354" spans="1:23" x14ac:dyDescent="0.2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6"/>
      <c r="O354" s="5"/>
      <c r="P354" s="4" t="s">
        <v>350</v>
      </c>
      <c r="Q354" s="5" t="s">
        <v>369</v>
      </c>
      <c r="R354" s="7">
        <v>1355.2517179654401</v>
      </c>
      <c r="S354" s="7">
        <v>0.171530711622426</v>
      </c>
      <c r="T354" s="5">
        <v>0.288365576067451</v>
      </c>
      <c r="U354" s="8">
        <v>0.29854231705218598</v>
      </c>
      <c r="V354" s="20" t="str">
        <f t="shared" si="82"/>
        <v/>
      </c>
      <c r="W354" s="20">
        <f t="shared" si="83"/>
        <v>1</v>
      </c>
    </row>
    <row r="355" spans="1:23" x14ac:dyDescent="0.2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6"/>
      <c r="O355" s="5"/>
      <c r="P355" s="4" t="s">
        <v>350</v>
      </c>
      <c r="Q355" s="5" t="s">
        <v>370</v>
      </c>
      <c r="R355" s="7">
        <v>1426.22892796305</v>
      </c>
      <c r="S355" s="7">
        <v>0.183218192692084</v>
      </c>
      <c r="T355" s="5">
        <v>0.27504240308743599</v>
      </c>
      <c r="U355" s="8">
        <v>0.28794769056807801</v>
      </c>
      <c r="V355" s="20" t="str">
        <f t="shared" si="82"/>
        <v/>
      </c>
      <c r="W355" s="20">
        <f t="shared" si="83"/>
        <v>1</v>
      </c>
    </row>
    <row r="356" spans="1:23" x14ac:dyDescent="0.2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6"/>
      <c r="O356" s="5"/>
      <c r="P356" s="4" t="s">
        <v>350</v>
      </c>
      <c r="Q356" s="5" t="s">
        <v>371</v>
      </c>
      <c r="R356" s="5">
        <v>1784.99496115486</v>
      </c>
      <c r="S356" s="5">
        <v>0.203726771927527</v>
      </c>
      <c r="T356" s="5">
        <v>0.247216145129175</v>
      </c>
      <c r="U356" s="8">
        <v>0.25235367862146901</v>
      </c>
      <c r="V356" s="20" t="str">
        <f t="shared" si="82"/>
        <v/>
      </c>
      <c r="W356" s="20">
        <f t="shared" si="83"/>
        <v>1</v>
      </c>
    </row>
    <row r="357" spans="1:23" x14ac:dyDescent="0.2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6"/>
      <c r="O357" s="5"/>
      <c r="P357" s="4" t="s">
        <v>350</v>
      </c>
      <c r="Q357" s="5" t="s">
        <v>372</v>
      </c>
      <c r="R357" s="7">
        <v>1219.0096228879399</v>
      </c>
      <c r="S357" s="7">
        <v>0.164287699182152</v>
      </c>
      <c r="T357" s="5">
        <v>0.29608416705587298</v>
      </c>
      <c r="U357" s="8">
        <v>0.305375974041936</v>
      </c>
      <c r="V357" s="20" t="str">
        <f t="shared" ref="V357:V361" si="94">IF(AND(U357=0,T357&lt;&gt;0), T357, "")</f>
        <v/>
      </c>
      <c r="W357" s="20">
        <f t="shared" ref="W357:W361" si="95">IF(U357&gt;T357,1,0)</f>
        <v>1</v>
      </c>
    </row>
    <row r="358" spans="1:23" x14ac:dyDescent="0.2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6"/>
      <c r="O358" s="5"/>
      <c r="P358" s="4" t="s">
        <v>350</v>
      </c>
      <c r="Q358" s="5" t="s">
        <v>373</v>
      </c>
      <c r="R358" s="7">
        <v>1261.14032039466</v>
      </c>
      <c r="S358" s="7">
        <v>0.16275522243750701</v>
      </c>
      <c r="T358" s="5">
        <v>0.31582311152626502</v>
      </c>
      <c r="U358" s="8">
        <v>0.32745016100882401</v>
      </c>
      <c r="V358" s="20" t="str">
        <f t="shared" si="94"/>
        <v/>
      </c>
      <c r="W358" s="20">
        <f t="shared" si="95"/>
        <v>1</v>
      </c>
    </row>
    <row r="359" spans="1:23" x14ac:dyDescent="0.2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6"/>
      <c r="O359" s="5"/>
      <c r="P359" s="4" t="s">
        <v>350</v>
      </c>
      <c r="Q359" s="5" t="s">
        <v>374</v>
      </c>
      <c r="R359" s="7">
        <v>1085.47564898531</v>
      </c>
      <c r="S359" s="7">
        <v>0.13970018474191001</v>
      </c>
      <c r="T359" s="5">
        <v>0.28703817506944201</v>
      </c>
      <c r="U359" s="8">
        <v>0.297042845554435</v>
      </c>
      <c r="V359" s="20" t="str">
        <f t="shared" si="94"/>
        <v/>
      </c>
      <c r="W359" s="20">
        <f t="shared" si="95"/>
        <v>1</v>
      </c>
    </row>
    <row r="360" spans="1:23" x14ac:dyDescent="0.2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6"/>
      <c r="O360" s="5"/>
      <c r="P360" s="4" t="s">
        <v>350</v>
      </c>
      <c r="Q360" s="5" t="s">
        <v>375</v>
      </c>
      <c r="R360" s="7">
        <v>2018.05682044733</v>
      </c>
      <c r="S360" s="5">
        <v>0.25052192273445001</v>
      </c>
      <c r="T360" s="5">
        <v>0.225535262161697</v>
      </c>
      <c r="U360" s="8">
        <v>0.22932081315601799</v>
      </c>
      <c r="V360" s="20" t="str">
        <f t="shared" si="94"/>
        <v/>
      </c>
      <c r="W360" s="20">
        <f t="shared" si="95"/>
        <v>1</v>
      </c>
    </row>
    <row r="361" spans="1:23" ht="17" thickBot="1" x14ac:dyDescent="0.25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7"/>
      <c r="O361" s="10"/>
      <c r="P361" s="9" t="s">
        <v>350</v>
      </c>
      <c r="Q361" s="10" t="s">
        <v>376</v>
      </c>
      <c r="R361" s="11">
        <v>1912.10422485501</v>
      </c>
      <c r="S361" s="10">
        <v>0.21598891490559299</v>
      </c>
      <c r="T361" s="10">
        <v>0.248494383127258</v>
      </c>
      <c r="U361" s="12">
        <v>0.25709790811435301</v>
      </c>
      <c r="V361" s="21" t="str">
        <f t="shared" si="94"/>
        <v/>
      </c>
      <c r="W361" s="21">
        <f t="shared" si="95"/>
        <v>1</v>
      </c>
    </row>
    <row r="362" spans="1:23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W362" s="22"/>
    </row>
    <row r="363" spans="1:23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W363" s="22"/>
    </row>
    <row r="364" spans="1:23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W364" s="22"/>
    </row>
    <row r="365" spans="1:23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W365" s="22"/>
    </row>
    <row r="367" spans="1:23" x14ac:dyDescent="0.2">
      <c r="T367" s="22"/>
      <c r="U367" s="22"/>
      <c r="V367" s="22"/>
    </row>
    <row r="368" spans="1:23" x14ac:dyDescent="0.2">
      <c r="T368" s="22"/>
      <c r="U368" s="22"/>
      <c r="V368" s="22"/>
    </row>
    <row r="369" spans="20:22" x14ac:dyDescent="0.2">
      <c r="T369" s="22"/>
      <c r="U369" s="22"/>
      <c r="V369" s="22"/>
    </row>
    <row r="370" spans="20:22" x14ac:dyDescent="0.2">
      <c r="T370" s="22"/>
      <c r="U370" s="22"/>
      <c r="V37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Nero, Gregory - (gnero)</dc:creator>
  <cp:lastModifiedBy>Nero, Gregory - (gnero)</cp:lastModifiedBy>
  <dcterms:created xsi:type="dcterms:W3CDTF">2026-06-23T21:55:12Z</dcterms:created>
  <dcterms:modified xsi:type="dcterms:W3CDTF">2026-06-26T17:41:07Z</dcterms:modified>
</cp:coreProperties>
</file>